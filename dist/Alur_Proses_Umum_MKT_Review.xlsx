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Tahap" sheetId="2" state="visible" r:id="rId4"/>
    <sheet name="Dokumen" sheetId="3" state="visible" r:id="rId5"/>
  </sheets>
  <definedNames>
    <definedName function="false" hidden="true" localSheetId="2" name="_xlnm._FilterDatabase" vbProcedure="false">Dokumen!$A$1:$I$134</definedName>
    <definedName function="false" hidden="true" localSheetId="1" name="_xlnm._FilterDatabase" vbProcedure="false">Tahap!$A$1:$S$33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<sst xmlns="http://schemas.openxmlformats.org/spreadsheetml/2006/main" count="985" uniqueCount="381">
  <si>
    <t xml:space="preserve">Alur Proses Umum MKT: lembar review</t>
  </si>
  <si>
    <t xml:space="preserve">Sumber: form audit SOP FRM-OPS-001-0001 (Jakarta, Agustus 2026). Isi sama dengan halaman Alur Proses Umum MKT di Claude.</t>
  </si>
  <si>
    <t xml:space="preserve">Cara pakai</t>
  </si>
  <si>
    <t xml:space="preserve">1. Sheet "Tahap": satu baris per tahap proses (area kerja, PIC, dokumen masuk dan keluar, hasil audit).</t>
  </si>
  <si>
    <t xml:space="preserve">2. Sheet "Dokumen": satu baris per dokumen, untuk catatan per dokumen (nama resmi, perlu TTD, dan sebagainya).</t>
  </si>
  <si>
    <t xml:space="preserve">3. Kolom berwarna kuning adalah kolom review. Hanya kolom itu yang perlu diisi. Kolom lain berasal dari halaman dan dibiarkan agar bisa dicocokkan.</t>
  </si>
  <si>
    <t xml:space="preserve">4. "Perlu diubah?" dan "Status review" memakai pilihan dropdown. Tabel di bawah menghitung status review secara otomatis.</t>
  </si>
  <si>
    <t xml:space="preserve">5. Tanda (TTD) berarti dokumen memerlukan tanda tangan. "(perkiraan)" berarti penempatan dokumen di tahap itu belum dipastikan.</t>
  </si>
  <si>
    <t xml:space="preserve">6. Tahap Penarikan full container ke UTPK/UTC berstatus "Belum diaudit". Isinya masih draf dari Pendahuluan SOP, butir Prosedur belum diterima.</t>
  </si>
  <si>
    <t xml:space="preserve">Contoh pengisian (hanya contoh, tidak ada di sheet Tahap)</t>
  </si>
  <si>
    <t xml:space="preserve">Catatan reviewer</t>
  </si>
  <si>
    <t xml:space="preserve">Tahap ini di lapangan dikerjakan Admin Warehouse, bukan AO.</t>
  </si>
  <si>
    <t xml:space="preserve">Perlu diubah?</t>
  </si>
  <si>
    <t xml:space="preserve">Ya</t>
  </si>
  <si>
    <t xml:space="preserve">Usulan perubahan</t>
  </si>
  <si>
    <t xml:space="preserve">Ubah PIC menjadi Admin Warehouse</t>
  </si>
  <si>
    <t xml:space="preserve">Status review</t>
  </si>
  <si>
    <t xml:space="preserve">Sudah direview</t>
  </si>
  <si>
    <t xml:space="preserve">Progres review (otomatis)</t>
  </si>
  <si>
    <t xml:space="preserve">Proses</t>
  </si>
  <si>
    <t xml:space="preserve">Jumlah tahap</t>
  </si>
  <si>
    <t xml:space="preserve">Sudah direview atau disetujui</t>
  </si>
  <si>
    <t xml:space="preserve">Export</t>
  </si>
  <si>
    <t xml:space="preserve">Import</t>
  </si>
  <si>
    <t xml:space="preserve">Trucking Support</t>
  </si>
  <si>
    <t xml:space="preserve">DC (Distribution Center)</t>
  </si>
  <si>
    <t xml:space="preserve">Total</t>
  </si>
  <si>
    <t xml:space="preserve">Tahap yang ditandai "Perlu diubah? = Ya"</t>
  </si>
  <si>
    <t xml:space="preserve">Fase</t>
  </si>
  <si>
    <t xml:space="preserve">No</t>
  </si>
  <si>
    <t xml:space="preserve">Tahap</t>
  </si>
  <si>
    <t xml:space="preserve">Kondisional</t>
  </si>
  <si>
    <t xml:space="preserve">Area utama</t>
  </si>
  <si>
    <t xml:space="preserve">Area terlibat</t>
  </si>
  <si>
    <t xml:space="preserve">PIC</t>
  </si>
  <si>
    <t xml:space="preserve">Dokumen masuk</t>
  </si>
  <si>
    <t xml:space="preserve">Dokumen keluar</t>
  </si>
  <si>
    <t xml:space="preserve">Sistem / catatan</t>
  </si>
  <si>
    <t xml:space="preserve">Acuan SOP</t>
  </si>
  <si>
    <t xml:space="preserve">Langkah audit</t>
  </si>
  <si>
    <t xml:space="preserve">Hasil audit (as reported)</t>
  </si>
  <si>
    <t xml:space="preserve">Reviewer</t>
  </si>
  <si>
    <t xml:space="preserve">Inbound Ekspor</t>
  </si>
  <si>
    <t xml:space="preserve">Kedatangan &amp; registrasi</t>
  </si>
  <si>
    <t xml:space="preserve">Gudang MKT</t>
  </si>
  <si>
    <t xml:space="preserve">Security, Admin Warehouse</t>
  </si>
  <si>
    <t xml:space="preserve">- Info pengiriman (email)
- Surat Jalan
- SIM pengemudi</t>
  </si>
  <si>
    <t xml:space="preserve">- Catatan waktu tiba
- ID Card Visitor</t>
  </si>
  <si>
    <t xml:space="preserve">6.1</t>
  </si>
  <si>
    <t xml:space="preserve">Export 1-4</t>
  </si>
  <si>
    <t xml:space="preserve">NC: 0</t>
  </si>
  <si>
    <t xml:space="preserve">Belum direview</t>
  </si>
  <si>
    <t xml:space="preserve">Terima dokumen &amp; buat order</t>
  </si>
  <si>
    <t xml:space="preserve">Account Officer, Admin Warehouse</t>
  </si>
  <si>
    <t xml:space="preserve">- BC
- Surat Jalan
- PEB, NPE
- Packing List
- Invoice</t>
  </si>
  <si>
    <t xml:space="preserve">- Order Inbound
- Email konfirmasi overtime (tiba &gt;17:00)</t>
  </si>
  <si>
    <t xml:space="preserve">WMS MKT Order Inbound</t>
  </si>
  <si>
    <t xml:space="preserve">Export 5-8</t>
  </si>
  <si>
    <t xml:space="preserve">NC: 1</t>
  </si>
  <si>
    <t xml:space="preserve">Bongkar &amp; tally</t>
  </si>
  <si>
    <t xml:space="preserve">Account Officer, Checker, Admin Warehouse</t>
  </si>
  <si>
    <t xml:space="preserve">- Dokumen inbound
- Foto segel &amp; nopol</t>
  </si>
  <si>
    <t xml:space="preserve">- Form Tally → Tally Report
- BA discrepancy (SOP-OPS-008)
- Potongan segel &amp; sticker BC</t>
  </si>
  <si>
    <t xml:space="preserve">Tally Report diupdate ke WMS</t>
  </si>
  <si>
    <t xml:space="preserve">Export 9-16</t>
  </si>
  <si>
    <t xml:space="preserve">Paletisasi &amp; put away</t>
  </si>
  <si>
    <t xml:space="preserve">Admin Warehouse, Checker, Operator Forklift</t>
  </si>
  <si>
    <t xml:space="preserve">- Tally Report</t>
  </si>
  <si>
    <t xml:space="preserve">- Label Pallet ID
- Lokasi put away</t>
  </si>
  <si>
    <t xml:space="preserve">Scan Pallet ID di WMS</t>
  </si>
  <si>
    <t xml:space="preserve">Export 17-19</t>
  </si>
  <si>
    <t xml:space="preserve">Outbound Ekspor</t>
  </si>
  <si>
    <t xml:space="preserve">Persiapan &amp; picking</t>
  </si>
  <si>
    <t xml:space="preserve">Account Officer, Admin Warehouse, Picker</t>
  </si>
  <si>
    <t xml:space="preserve">- CLP dari pelanggan (email)
- Tally Report</t>
  </si>
  <si>
    <t xml:space="preserve">- Picking Report
- Copy CLP ke Picker</t>
  </si>
  <si>
    <t xml:space="preserve">6.2</t>
  </si>
  <si>
    <t xml:space="preserve">Export 20-26</t>
  </si>
  <si>
    <t xml:space="preserve">Stuffing &amp; penyegelan</t>
  </si>
  <si>
    <t xml:space="preserve">Bea Cukai</t>
  </si>
  <si>
    <t xml:space="preserve">Surveyor, Checker, TKBM, Admin Warehouse</t>
  </si>
  <si>
    <t xml:space="preserve">- Copy CLP
- Tally Report
- Empty container &amp; EIR (dari Trucking Support)
- Hasil periksa kontainer (SOP-OPS-005)</t>
  </si>
  <si>
    <t xml:space="preserve">- BA kontainer tidak layak (jika ada)
- Dokumentasi muat 25/50/75/100%
- Segel Pelayaran &amp; BC
- Nomor segel terdokumentasi</t>
  </si>
  <si>
    <t xml:space="preserve">Scan Pallet ID sebelum masuk kontainer</t>
  </si>
  <si>
    <t xml:space="preserve">Export 27-36</t>
  </si>
  <si>
    <t xml:space="preserve">Proses pendukung (periodik)</t>
  </si>
  <si>
    <t xml:space="preserve">Periodik</t>
  </si>
  <si>
    <t xml:space="preserve">Cycle Count</t>
  </si>
  <si>
    <t xml:space="preserve">Inventory, Operasional, Account Officer</t>
  </si>
  <si>
    <t xml:space="preserve">- Stock balance WMS (harian)
- Count Sheet harian</t>
  </si>
  <si>
    <t xml:space="preserve">- Berita Acara Cycle Count (TTD)</t>
  </si>
  <si>
    <t xml:space="preserve">Verifikasi hitung fisik vs stok WMS</t>
  </si>
  <si>
    <t xml:space="preserve">SOP-OPS-006 6.1</t>
  </si>
  <si>
    <t xml:space="preserve">Export 45-51</t>
  </si>
  <si>
    <t xml:space="preserve">Stock Opname</t>
  </si>
  <si>
    <t xml:space="preserve">Inventory, Tim Stock Opname, Operasional</t>
  </si>
  <si>
    <t xml:space="preserve">- Jadwal SO dari pelanggan (email)
- Count Sheet kosong &amp; ber-qty</t>
  </si>
  <si>
    <t xml:space="preserve">- Berita Acara Stock Opname (MKT &amp; pelanggan) (TTD)</t>
  </si>
  <si>
    <t xml:space="preserve">WMS di-freeze saat hitung, lalu di-unfreeze</t>
  </si>
  <si>
    <t xml:space="preserve">SOP-OPS-006 6.2</t>
  </si>
  <si>
    <t xml:space="preserve">Export 52-62</t>
  </si>
  <si>
    <t xml:space="preserve">NC: 2</t>
  </si>
  <si>
    <t xml:space="preserve">Pengurusan dokumen</t>
  </si>
  <si>
    <t xml:space="preserve">Ambil DO Pelayaran</t>
  </si>
  <si>
    <t xml:space="preserve">Port / Pelayaran</t>
  </si>
  <si>
    <t xml:space="preserve">Account Officer, Pelanggan, Forwarding</t>
  </si>
  <si>
    <t xml:space="preserve">- OVBC
- MBL
- DO
- Bukti bayar THC &amp; LOLO</t>
  </si>
  <si>
    <t xml:space="preserve">- DO Pelayaran</t>
  </si>
  <si>
    <t xml:space="preserve">Import 1-4</t>
  </si>
  <si>
    <t xml:space="preserve">Redress</t>
  </si>
  <si>
    <t xml:space="preserve">jika perlu</t>
  </si>
  <si>
    <t xml:space="preserve">Account Officer, Pelanggan</t>
  </si>
  <si>
    <t xml:space="preserve">- Pemberitahuan kebutuhan redress</t>
  </si>
  <si>
    <t xml:space="preserve">- Persetujuan redress dari BC</t>
  </si>
  <si>
    <t xml:space="preserve">6.8</t>
  </si>
  <si>
    <t xml:space="preserve">Import 42-44</t>
  </si>
  <si>
    <t xml:space="preserve">Pindah Lokasi Penimbunan (PLP)</t>
  </si>
  <si>
    <t xml:space="preserve">Account Officer, Terminal</t>
  </si>
  <si>
    <t xml:space="preserve">- Dokumen pengajuan PLP</t>
  </si>
  <si>
    <t xml:space="preserve">- Approval PLP dari Terminal</t>
  </si>
  <si>
    <t xml:space="preserve">Import 5-8</t>
  </si>
  <si>
    <t xml:space="preserve">Penarikan &amp; pembongkaran</t>
  </si>
  <si>
    <t xml:space="preserve">Tarik container dari pelabuhan</t>
  </si>
  <si>
    <t xml:space="preserve">Vendor CC, Trucking Support, Pengemudi Truk</t>
  </si>
  <si>
    <t xml:space="preserve">- Approval PLP
- SP2 (setelah Port Charges)
- E-Seal dari TPS
- Surat izin stripping dari BC</t>
  </si>
  <si>
    <t xml:space="preserve">- E-Seal terpasang
- Dokumen BC difiat di gate out</t>
  </si>
  <si>
    <t xml:space="preserve">Gate in diinput ke sistem</t>
  </si>
  <si>
    <t xml:space="preserve">6.3</t>
  </si>
  <si>
    <t xml:space="preserve">Import 9-15</t>
  </si>
  <si>
    <t xml:space="preserve">Pembongkaran cargo</t>
  </si>
  <si>
    <t xml:space="preserve">Staff Operasional, Account Officer</t>
  </si>
  <si>
    <t xml:space="preserve">- Lampiran izin stripping (disetujui BC)
- Manifest</t>
  </si>
  <si>
    <t xml:space="preserve">- Label impor / Master BL
- Foto &amp; video seal dan bongkar
- Laporan stripping &amp; BA (TTD BC) (TTD)
- BA ketidaksesuaian (SOP-OPS-008)</t>
  </si>
  <si>
    <t xml:space="preserve">6.4</t>
  </si>
  <si>
    <t xml:space="preserve">Import 16-25</t>
  </si>
  <si>
    <t xml:space="preserve">Pengembalian empty container</t>
  </si>
  <si>
    <t xml:space="preserve">Trucking Support, Pengemudi Truk, Operator RS</t>
  </si>
  <si>
    <t xml:space="preserve">- EIR asli
- DO
- Surat jalan out</t>
  </si>
  <si>
    <t xml:space="preserve">- Dokumen pemulangan empty (TTD BC) (TTD)
- Barcode / gate pass TPS</t>
  </si>
  <si>
    <t xml:space="preserve">Container out diinput ke sistem</t>
  </si>
  <si>
    <t xml:space="preserve">6.5</t>
  </si>
  <si>
    <t xml:space="preserve">Import 26-30</t>
  </si>
  <si>
    <t xml:space="preserve">Gudang</t>
  </si>
  <si>
    <t xml:space="preserve">Penyimpanan cargo</t>
  </si>
  <si>
    <t xml:space="preserve">Staple</t>
  </si>
  <si>
    <t xml:space="preserve">- Manifest / Tally</t>
  </si>
  <si>
    <t xml:space="preserve">- Lokasi barang di WMS
- Entri khusus barang DG/OD/OW</t>
  </si>
  <si>
    <t xml:space="preserve">Input lokasi di WMS</t>
  </si>
  <si>
    <t xml:space="preserve">6.6</t>
  </si>
  <si>
    <t xml:space="preserve">Import 31-35</t>
  </si>
  <si>
    <t xml:space="preserve">Pengeluaran cargo</t>
  </si>
  <si>
    <t xml:space="preserve">Staple, Staff Operasional, TKBM / Forklift</t>
  </si>
  <si>
    <t xml:space="preserve">- SPPB
- DO
- Surat Jalan</t>
  </si>
  <si>
    <t xml:space="preserve">- Surat Jalan serah terima (TTD pelanggan) (TTD)</t>
  </si>
  <si>
    <t xml:space="preserve">6.7</t>
  </si>
  <si>
    <t xml:space="preserve">Import 36-41</t>
  </si>
  <si>
    <t xml:space="preserve">Import 45-51</t>
  </si>
  <si>
    <t xml:space="preserve">Import 52-62</t>
  </si>
  <si>
    <t xml:space="preserve">NC: 9</t>
  </si>
  <si>
    <t xml:space="preserve">Penarikan empty container</t>
  </si>
  <si>
    <t xml:space="preserve">Terima DO &amp; konfirmasi Depo</t>
  </si>
  <si>
    <t xml:space="preserve">Depo</t>
  </si>
  <si>
    <t xml:space="preserve">Trucking Support, Account Officer, Depo, Pengemudi</t>
  </si>
  <si>
    <t xml:space="preserve">- DO dari Account Officer
- Konfirmasi pelanggan (jika DO tidak tersedia di Depo)</t>
  </si>
  <si>
    <t xml:space="preserve">- Konfirmasi DO dari Depo
- Bon Muat ke pengemudi</t>
  </si>
  <si>
    <t xml:space="preserve">SOP-OPS-005 6.1</t>
  </si>
  <si>
    <t xml:space="preserve">Trucking 1-3 (asal Export 37-39)</t>
  </si>
  <si>
    <t xml:space="preserve">Pemeriksaan empty bersama Depo</t>
  </si>
  <si>
    <t xml:space="preserve">Trucking Support, Depo</t>
  </si>
  <si>
    <t xml:space="preserve">- Bon Muat
- Form pemeriksaan empty (10 kriteria)</t>
  </si>
  <si>
    <t xml:space="preserve">- Form pemeriksaan empty terisi</t>
  </si>
  <si>
    <t xml:space="preserve">Periksa luar, pintu, dinding, plafon, lantai, kebersihan, segel, hama. Segel ISO 17712 sesuai EIR. Hanya container BAIK diterima; yang tidak layak dikembalikan.</t>
  </si>
  <si>
    <t xml:space="preserve">Trucking 4-7 (asal Export 40-43)</t>
  </si>
  <si>
    <t xml:space="preserve">Terbit EIR</t>
  </si>
  <si>
    <t xml:space="preserve">Depo, Trucking Support</t>
  </si>
  <si>
    <t xml:space="preserve">- Hasil pemeriksaan bersama</t>
  </si>
  <si>
    <t xml:space="preserve">- EIR dari Depo (diteruskan ke tim yang stuffing)</t>
  </si>
  <si>
    <t xml:space="preserve">Trucking 8 (asal Export 44)</t>
  </si>
  <si>
    <t xml:space="preserve">Penarikan full container ke UTPK/UTC</t>
  </si>
  <si>
    <t xml:space="preserve">Terima &amp; cek dokumen</t>
  </si>
  <si>
    <t xml:space="preserve">Staff Container &amp; Trucking</t>
  </si>
  <si>
    <t xml:space="preserve">- Kartu Ekspor (KE)
- PKBE
- Survey Pelayaran
- Export Summary List</t>
  </si>
  <si>
    <t xml:space="preserve">Dokumen keluar tahap ini menunggu butir Prosedur.</t>
  </si>
  <si>
    <t xml:space="preserve">Ruang Lingkup</t>
  </si>
  <si>
    <t xml:space="preserve">Trucking 9-12</t>
  </si>
  <si>
    <t xml:space="preserve">Belum diaudit</t>
  </si>
  <si>
    <t xml:space="preserve">Periksa segel &amp; kondisi sebelum berangkat</t>
  </si>
  <si>
    <t xml:space="preserve">Staff Container &amp; Trucking, Gudang</t>
  </si>
  <si>
    <t xml:space="preserve">- Export Summary List</t>
  </si>
  <si>
    <t xml:space="preserve">- Surat Jalan (SJT)
- Bon Muat (perkiraan)</t>
  </si>
  <si>
    <t xml:space="preserve">Segel terpasang baik dan kondisi container dicatat saat keluar gudang.</t>
  </si>
  <si>
    <t xml:space="preserve">Uraian 4a, 4b</t>
  </si>
  <si>
    <t xml:space="preserve">Trucking 13-15</t>
  </si>
  <si>
    <t xml:space="preserve">SPK vendor &amp; penarikan</t>
  </si>
  <si>
    <t xml:space="preserve">Staff Container &amp; Trucking, Sopir / Vendor</t>
  </si>
  <si>
    <t xml:space="preserve">- Surat Jalan (SJT)
- Bon Muat (perkiraan)
- Closing time pelabuhan</t>
  </si>
  <si>
    <t xml:space="preserve">- SPK ke vendor</t>
  </si>
  <si>
    <t xml:space="preserve">Komunikasi dua arah via HP dengan sopir. Antisipasi closing time agar tidak kena denda.</t>
  </si>
  <si>
    <t xml:space="preserve">Uraian 4c, 4d</t>
  </si>
  <si>
    <t xml:space="preserve">Trucking 16-19</t>
  </si>
  <si>
    <t xml:space="preserve">Terima di CY UTPK &amp; bandingkan</t>
  </si>
  <si>
    <t xml:space="preserve">Staff Container &amp; Trucking, UTPK</t>
  </si>
  <si>
    <t xml:space="preserve">- EIR versi UTPK
- Surat Jalan gudang</t>
  </si>
  <si>
    <t xml:space="preserve">- IK Discrepancies penarikan full container ke UTC (jika ada selisih)</t>
  </si>
  <si>
    <t xml:space="preserve">Bandingkan segel dan kondisi container saat keluar gudang vs saat diterima UTPK.</t>
  </si>
  <si>
    <t xml:space="preserve">Trucking 20-22</t>
  </si>
  <si>
    <t xml:space="preserve">Inbound DC</t>
  </si>
  <si>
    <t xml:space="preserve">Info &amp; registrasi</t>
  </si>
  <si>
    <t xml:space="preserve">Admin, Security</t>
  </si>
  <si>
    <t xml:space="preserve">- Info pengiriman (email)
- Surat Jalan
- Dokumen transporter
- Form Pemeriksaan Kabin
- SIM pengemudi</t>
  </si>
  <si>
    <t xml:space="preserve">- ID Card Visitor
- Order Inbound &amp; packing detail
- Email konfirmasi overtime (tiba &gt;16:00)</t>
  </si>
  <si>
    <t xml:space="preserve">WMS Order Inbound / upload template</t>
  </si>
  <si>
    <t xml:space="preserve">DC 1-9</t>
  </si>
  <si>
    <t xml:space="preserve">NC: Semper 3 | Marcen 1 | Dokumen 1</t>
  </si>
  <si>
    <t xml:space="preserve">Bongkar &amp; pengecekan</t>
  </si>
  <si>
    <t xml:space="preserve">Admin, Checker, Ops Section Head</t>
  </si>
  <si>
    <t xml:space="preserve">- Dokumen inbound
- Form Pemeriksaan Kendaraan
- Packing List / Surat Jalan</t>
  </si>
  <si>
    <t xml:space="preserve">- Tally Report
- Good Receipt Report (TTD)
- Surat Jalan (3 pihak) (TTD)
- Laporan ketidaksesuaian (SOP-OPS-008)</t>
  </si>
  <si>
    <t xml:space="preserve">Good Receipt diupdate ke WMS</t>
  </si>
  <si>
    <t xml:space="preserve">DC 10-17</t>
  </si>
  <si>
    <t xml:space="preserve">NC: Semper 4 | Marcen 3 | Dokumen 3</t>
  </si>
  <si>
    <t xml:space="preserve">Admin, Checker, Operator Forklift, Ops Section Head</t>
  </si>
  <si>
    <t xml:space="preserve">- Good Receipt</t>
  </si>
  <si>
    <t xml:space="preserve">- Label Pallet ID
- Put Away Report
- Inbound Confirmation Report (TTD)</t>
  </si>
  <si>
    <t xml:space="preserve">Scan put away di WMS</t>
  </si>
  <si>
    <t xml:space="preserve">DC 18-22</t>
  </si>
  <si>
    <t xml:space="preserve">NC: Semper 4 | Marcen 3 | Dokumen 1</t>
  </si>
  <si>
    <t xml:space="preserve">Outbound DC</t>
  </si>
  <si>
    <t xml:space="preserve">Admin, Picker</t>
  </si>
  <si>
    <t xml:space="preserve">- Info pengeluaran (email)</t>
  </si>
  <si>
    <t xml:space="preserve">- Job Information Outbound
- Outbound Picking Report</t>
  </si>
  <si>
    <t xml:space="preserve">Alokasi stok di WMS</t>
  </si>
  <si>
    <t xml:space="preserve">DC 23-28</t>
  </si>
  <si>
    <t xml:space="preserve">NC: Semper 0 | Marcen 0 | Dokumen 0</t>
  </si>
  <si>
    <t xml:space="preserve">Pemuatan &amp; gate out</t>
  </si>
  <si>
    <t xml:space="preserve">Security, Admin, Checker, TKBM, Ops Section Head</t>
  </si>
  <si>
    <t xml:space="preserve">- Dokumen outbound
- Form Pemeriksaan Kabin
- Form Pemeriksaan Kendaraan</t>
  </si>
  <si>
    <t xml:space="preserve">- Outbound Confirmation Report
- DO MKT (TTD)</t>
  </si>
  <si>
    <t xml:space="preserve">DC 29-35</t>
  </si>
  <si>
    <t xml:space="preserve">NC: Semper 3 | Marcen 3 | Dokumen 3</t>
  </si>
  <si>
    <t xml:space="preserve">DC 36-42</t>
  </si>
  <si>
    <t xml:space="preserve">NC: Semper 5 | Marcen 1 | Dokumen 1</t>
  </si>
  <si>
    <t xml:space="preserve">DC 43-53</t>
  </si>
  <si>
    <t xml:space="preserve">NC: Semper 1 | Marcen 0 | Dokumen 0</t>
  </si>
  <si>
    <t xml:space="preserve">Jenis</t>
  </si>
  <si>
    <t xml:space="preserve">Dokumen</t>
  </si>
  <si>
    <t xml:space="preserve">Perlu TTD</t>
  </si>
  <si>
    <t xml:space="preserve">Nama resmi / usulan revisi</t>
  </si>
  <si>
    <t xml:space="preserve">1. Kedatangan &amp; registrasi</t>
  </si>
  <si>
    <t xml:space="preserve">Masuk</t>
  </si>
  <si>
    <t xml:space="preserve">Info pengiriman (email)</t>
  </si>
  <si>
    <t xml:space="preserve">Surat Jalan</t>
  </si>
  <si>
    <t xml:space="preserve">SIM pengemudi</t>
  </si>
  <si>
    <t xml:space="preserve">Keluar</t>
  </si>
  <si>
    <t xml:space="preserve">Catatan waktu tiba</t>
  </si>
  <si>
    <t xml:space="preserve">ID Card Visitor</t>
  </si>
  <si>
    <t xml:space="preserve">2. Terima dokumen &amp; buat order</t>
  </si>
  <si>
    <t xml:space="preserve">BC</t>
  </si>
  <si>
    <t xml:space="preserve">PEB, NPE</t>
  </si>
  <si>
    <t xml:space="preserve">Packing List</t>
  </si>
  <si>
    <t xml:space="preserve">Invoice</t>
  </si>
  <si>
    <t xml:space="preserve">Order Inbound</t>
  </si>
  <si>
    <t xml:space="preserve">Email konfirmasi overtime (tiba &gt;17:00)</t>
  </si>
  <si>
    <t xml:space="preserve">3. Bongkar &amp; tally</t>
  </si>
  <si>
    <t xml:space="preserve">Dokumen inbound</t>
  </si>
  <si>
    <t xml:space="preserve">Foto segel &amp; nopol</t>
  </si>
  <si>
    <t xml:space="preserve">Form Tally → Tally Report</t>
  </si>
  <si>
    <t xml:space="preserve">BA discrepancy (SOP-OPS-008)</t>
  </si>
  <si>
    <t xml:space="preserve">Potongan segel &amp; sticker BC</t>
  </si>
  <si>
    <t xml:space="preserve">4. Paletisasi &amp; put away</t>
  </si>
  <si>
    <t xml:space="preserve">Tally Report</t>
  </si>
  <si>
    <t xml:space="preserve">Label Pallet ID</t>
  </si>
  <si>
    <t xml:space="preserve">Lokasi put away</t>
  </si>
  <si>
    <t xml:space="preserve">5. Persiapan &amp; picking</t>
  </si>
  <si>
    <t xml:space="preserve">CLP dari pelanggan (email)</t>
  </si>
  <si>
    <t xml:space="preserve">Picking Report</t>
  </si>
  <si>
    <t xml:space="preserve">Copy CLP ke Picker</t>
  </si>
  <si>
    <t xml:space="preserve">6. Stuffing &amp; penyegelan</t>
  </si>
  <si>
    <t xml:space="preserve">Copy CLP</t>
  </si>
  <si>
    <t xml:space="preserve">Empty container &amp; EIR (dari Trucking Support)</t>
  </si>
  <si>
    <t xml:space="preserve">Hasil periksa kontainer (SOP-OPS-005)</t>
  </si>
  <si>
    <t xml:space="preserve">BA kontainer tidak layak (jika ada)</t>
  </si>
  <si>
    <t xml:space="preserve">Dokumentasi muat 25/50/75/100%</t>
  </si>
  <si>
    <t xml:space="preserve">Segel Pelayaran &amp; BC</t>
  </si>
  <si>
    <t xml:space="preserve">Nomor segel terdokumentasi</t>
  </si>
  <si>
    <t xml:space="preserve">Periodik: Cycle Count</t>
  </si>
  <si>
    <t xml:space="preserve">Stock balance WMS (harian)</t>
  </si>
  <si>
    <t xml:space="preserve">Count Sheet harian</t>
  </si>
  <si>
    <t xml:space="preserve">Berita Acara Cycle Count</t>
  </si>
  <si>
    <t xml:space="preserve">Periodik: Stock Opname</t>
  </si>
  <si>
    <t xml:space="preserve">Jadwal SO dari pelanggan (email)</t>
  </si>
  <si>
    <t xml:space="preserve">Count Sheet kosong &amp; ber-qty</t>
  </si>
  <si>
    <t xml:space="preserve">Berita Acara Stock Opname (MKT &amp; pelanggan)</t>
  </si>
  <si>
    <t xml:space="preserve">1. Ambil DO Pelayaran</t>
  </si>
  <si>
    <t xml:space="preserve">OVBC</t>
  </si>
  <si>
    <t xml:space="preserve">MBL</t>
  </si>
  <si>
    <t xml:space="preserve">DO</t>
  </si>
  <si>
    <t xml:space="preserve">Bukti bayar THC &amp; LOLO</t>
  </si>
  <si>
    <t xml:space="preserve">DO Pelayaran</t>
  </si>
  <si>
    <t xml:space="preserve">2. Redress</t>
  </si>
  <si>
    <t xml:space="preserve">Pemberitahuan kebutuhan redress</t>
  </si>
  <si>
    <t xml:space="preserve">Persetujuan redress dari BC</t>
  </si>
  <si>
    <t xml:space="preserve">3. Pindah Lokasi Penimbunan (PLP)</t>
  </si>
  <si>
    <t xml:space="preserve">Dokumen pengajuan PLP</t>
  </si>
  <si>
    <t xml:space="preserve">Approval PLP dari Terminal</t>
  </si>
  <si>
    <t xml:space="preserve">4. Tarik container dari pelabuhan</t>
  </si>
  <si>
    <t xml:space="preserve">Approval PLP</t>
  </si>
  <si>
    <t xml:space="preserve">SP2 (setelah Port Charges)</t>
  </si>
  <si>
    <t xml:space="preserve">E-Seal dari TPS</t>
  </si>
  <si>
    <t xml:space="preserve">Surat izin stripping dari BC</t>
  </si>
  <si>
    <t xml:space="preserve">E-Seal terpasang</t>
  </si>
  <si>
    <t xml:space="preserve">Dokumen BC difiat di gate out</t>
  </si>
  <si>
    <t xml:space="preserve">5. Pembongkaran cargo</t>
  </si>
  <si>
    <t xml:space="preserve">Lampiran izin stripping (disetujui BC)</t>
  </si>
  <si>
    <t xml:space="preserve">Manifest</t>
  </si>
  <si>
    <t xml:space="preserve">Label impor / Master BL</t>
  </si>
  <si>
    <t xml:space="preserve">Foto &amp; video seal dan bongkar</t>
  </si>
  <si>
    <t xml:space="preserve">Laporan stripping &amp; BA (TTD BC)</t>
  </si>
  <si>
    <t xml:space="preserve">BA ketidaksesuaian (SOP-OPS-008)</t>
  </si>
  <si>
    <t xml:space="preserve">6. Pengembalian empty container</t>
  </si>
  <si>
    <t xml:space="preserve">EIR asli</t>
  </si>
  <si>
    <t xml:space="preserve">Surat jalan out</t>
  </si>
  <si>
    <t xml:space="preserve">Dokumen pemulangan empty (TTD BC)</t>
  </si>
  <si>
    <t xml:space="preserve">Barcode / gate pass TPS</t>
  </si>
  <si>
    <t xml:space="preserve">7. Penyimpanan cargo</t>
  </si>
  <si>
    <t xml:space="preserve">Manifest / Tally</t>
  </si>
  <si>
    <t xml:space="preserve">Lokasi barang di WMS</t>
  </si>
  <si>
    <t xml:space="preserve">Entri khusus barang DG/OD/OW</t>
  </si>
  <si>
    <t xml:space="preserve">8. Pengeluaran cargo</t>
  </si>
  <si>
    <t xml:space="preserve">SPPB</t>
  </si>
  <si>
    <t xml:space="preserve">Surat Jalan serah terima (TTD pelanggan)</t>
  </si>
  <si>
    <t xml:space="preserve">1. Terima DO &amp; konfirmasi Depo</t>
  </si>
  <si>
    <t xml:space="preserve">DO dari Account Officer</t>
  </si>
  <si>
    <t xml:space="preserve">Konfirmasi pelanggan (jika DO tidak tersedia di Depo)</t>
  </si>
  <si>
    <t xml:space="preserve">Konfirmasi DO dari Depo</t>
  </si>
  <si>
    <t xml:space="preserve">Bon Muat ke pengemudi</t>
  </si>
  <si>
    <t xml:space="preserve">2. Pemeriksaan empty bersama Depo</t>
  </si>
  <si>
    <t xml:space="preserve">Bon Muat</t>
  </si>
  <si>
    <t xml:space="preserve">Form pemeriksaan empty (10 kriteria)</t>
  </si>
  <si>
    <t xml:space="preserve">Form pemeriksaan empty terisi</t>
  </si>
  <si>
    <t xml:space="preserve">3. Terbit EIR</t>
  </si>
  <si>
    <t xml:space="preserve">Hasil pemeriksaan bersama</t>
  </si>
  <si>
    <t xml:space="preserve">EIR dari Depo (diteruskan ke tim yang stuffing)</t>
  </si>
  <si>
    <t xml:space="preserve">4. Terima &amp; cek dokumen</t>
  </si>
  <si>
    <t xml:space="preserve">Kartu Ekspor (KE)</t>
  </si>
  <si>
    <t xml:space="preserve">PKBE</t>
  </si>
  <si>
    <t xml:space="preserve">Survey Pelayaran</t>
  </si>
  <si>
    <t xml:space="preserve">Export Summary List</t>
  </si>
  <si>
    <t xml:space="preserve">5. Periksa segel &amp; kondisi sebelum berangkat</t>
  </si>
  <si>
    <t xml:space="preserve">Surat Jalan (SJT)</t>
  </si>
  <si>
    <t xml:space="preserve">Bon Muat (perkiraan)</t>
  </si>
  <si>
    <t xml:space="preserve">6. SPK vendor &amp; penarikan</t>
  </si>
  <si>
    <t xml:space="preserve">Closing time pelabuhan</t>
  </si>
  <si>
    <t xml:space="preserve">SPK ke vendor</t>
  </si>
  <si>
    <t xml:space="preserve">7. Terima di CY UTPK &amp; bandingkan</t>
  </si>
  <si>
    <t xml:space="preserve">EIR versi UTPK</t>
  </si>
  <si>
    <t xml:space="preserve">Surat Jalan gudang</t>
  </si>
  <si>
    <t xml:space="preserve">IK Discrepancies penarikan full container ke UTC (jika ada selisih)</t>
  </si>
  <si>
    <t xml:space="preserve">1. Info &amp; registrasi</t>
  </si>
  <si>
    <t xml:space="preserve">Dokumen transporter</t>
  </si>
  <si>
    <t xml:space="preserve">Form Pemeriksaan Kabin</t>
  </si>
  <si>
    <t xml:space="preserve">Order Inbound &amp; packing detail</t>
  </si>
  <si>
    <t xml:space="preserve">Email konfirmasi overtime (tiba &gt;16:00)</t>
  </si>
  <si>
    <t xml:space="preserve">2. Bongkar &amp; pengecekan</t>
  </si>
  <si>
    <t xml:space="preserve">Form Pemeriksaan Kendaraan</t>
  </si>
  <si>
    <t xml:space="preserve">Packing List / Surat Jalan</t>
  </si>
  <si>
    <t xml:space="preserve">Good Receipt Report</t>
  </si>
  <si>
    <t xml:space="preserve">Surat Jalan (3 pihak)</t>
  </si>
  <si>
    <t xml:space="preserve">Laporan ketidaksesuaian (SOP-OPS-008)</t>
  </si>
  <si>
    <t xml:space="preserve">3. Paletisasi &amp; put away</t>
  </si>
  <si>
    <t xml:space="preserve">Good Receipt</t>
  </si>
  <si>
    <t xml:space="preserve">Put Away Report</t>
  </si>
  <si>
    <t xml:space="preserve">Inbound Confirmation Report</t>
  </si>
  <si>
    <t xml:space="preserve">4. Persiapan &amp; picking</t>
  </si>
  <si>
    <t xml:space="preserve">Info pengeluaran (email)</t>
  </si>
  <si>
    <t xml:space="preserve">Job Information Outbound</t>
  </si>
  <si>
    <t xml:space="preserve">Outbound Picking Report</t>
  </si>
  <si>
    <t xml:space="preserve">5. Pemuatan &amp; gate out</t>
  </si>
  <si>
    <t xml:space="preserve">Dokumen outbound</t>
  </si>
  <si>
    <t xml:space="preserve">Outbound Confirmation Report</t>
  </si>
  <si>
    <t xml:space="preserve">DO MKT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</si>
</sst>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5A6B7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9EEF3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0B4A6F"/>
        <bgColor rgb="FF333399"/>
      </patternFill>
    </fill>
    <fill>
      <patternFill patternType="solid">
        <fgColor rgb="FF7A5C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8E0"/>
      </left>
      <right style="thin">
        <color rgb="FFCFD8E0"/>
      </right>
      <top style="thin">
        <color rgb="FFCFD8E0"/>
      </top>
      <bottom style="thin">
        <color rgb="FFCF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4A6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5C00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9C4"/>
      <rgbColor rgb="FFE9EEF3"/>
      <rgbColor rgb="FF660066"/>
      <rgbColor rgb="FFFF8080"/>
      <rgbColor rgb="FF0066CC"/>
      <rgbColor rgb="FFCF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8"/>
      <rgbColor rgb="FF969696"/>
      <rgbColor rgb="FF0B4A6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</row>
    <row r="5" customFormat="false" ht="27.75" hidden="false" customHeight="true" outlineLevel="0" collapsed="false">
      <c r="A5" s="4" t="s">
        <v>3</v>
      </c>
      <c r="B5" s="4"/>
      <c r="C5" s="4"/>
    </row>
    <row r="6" customFormat="false" ht="27.75" hidden="false" customHeight="true" outlineLevel="0" collapsed="false">
      <c r="A6" s="4" t="s">
        <v>4</v>
      </c>
      <c r="B6" s="4"/>
      <c r="C6" s="4"/>
    </row>
    <row r="7" customFormat="false" ht="27.75" hidden="false" customHeight="true" outlineLevel="0" collapsed="false">
      <c r="A7" s="4" t="s">
        <v>5</v>
      </c>
      <c r="B7" s="4"/>
      <c r="C7" s="4"/>
    </row>
    <row r="8" customFormat="false" ht="27.75" hidden="false" customHeight="true" outlineLevel="0" collapsed="false">
      <c r="A8" s="4" t="s">
        <v>6</v>
      </c>
      <c r="B8" s="4"/>
      <c r="C8" s="4"/>
    </row>
    <row r="9" customFormat="false" ht="27.75" hidden="false" customHeight="true" outlineLevel="0" collapsed="false">
      <c r="A9" s="4" t="s">
        <v>7</v>
      </c>
      <c r="B9" s="4"/>
      <c r="C9" s="4"/>
    </row>
    <row r="10" customFormat="false" ht="27.75" hidden="false" customHeight="true" outlineLevel="0" collapsed="false">
      <c r="A10" s="4" t="s">
        <v>8</v>
      </c>
      <c r="B10" s="4"/>
      <c r="C10" s="4"/>
    </row>
    <row r="12" customFormat="false" ht="23.85" hidden="false" customHeight="false" outlineLevel="0" collapsed="false">
      <c r="A12" s="3" t="s">
        <v>9</v>
      </c>
    </row>
    <row r="13" customFormat="false" ht="15" hidden="false" customHeight="true" outlineLevel="0" collapsed="false">
      <c r="A13" s="5" t="s">
        <v>10</v>
      </c>
      <c r="B13" s="6" t="s">
        <v>11</v>
      </c>
      <c r="C13" s="6"/>
    </row>
    <row r="14" customFormat="false" ht="15" hidden="false" customHeight="true" outlineLevel="0" collapsed="false">
      <c r="A14" s="5" t="s">
        <v>12</v>
      </c>
      <c r="B14" s="6" t="s">
        <v>13</v>
      </c>
      <c r="C14" s="6"/>
    </row>
    <row r="15" customFormat="false" ht="15" hidden="false" customHeight="true" outlineLevel="0" collapsed="false">
      <c r="A15" s="5" t="s">
        <v>14</v>
      </c>
      <c r="B15" s="6" t="s">
        <v>15</v>
      </c>
      <c r="C15" s="6"/>
    </row>
    <row r="16" customFormat="false" ht="15" hidden="false" customHeight="true" outlineLevel="0" collapsed="false">
      <c r="A16" s="5" t="s">
        <v>16</v>
      </c>
      <c r="B16" s="6" t="s">
        <v>17</v>
      </c>
      <c r="C16" s="6"/>
    </row>
    <row r="18" customFormat="false" ht="15" hidden="false" customHeight="false" outlineLevel="0" collapsed="false">
      <c r="A18" s="3" t="s">
        <v>18</v>
      </c>
    </row>
    <row r="19" customFormat="false" ht="15" hidden="false" customHeight="false" outlineLevel="0" collapsed="false">
      <c r="A19" s="7" t="s">
        <v>19</v>
      </c>
      <c r="B19" s="7" t="s">
        <v>20</v>
      </c>
      <c r="C19" s="7" t="s">
        <v>21</v>
      </c>
    </row>
    <row r="20" customFormat="false" ht="15" hidden="false" customHeight="false" outlineLevel="0" collapsed="false">
      <c r="A20" s="8" t="s">
        <v>22</v>
      </c>
      <c r="B20" s="9" t="n">
        <f aca="false">COUNTIF(Tahap!$A$2:$A$33,A20)</f>
        <v>8</v>
      </c>
      <c r="C20" s="9" t="n">
        <f aca="false">COUNTIFS(Tahap!$A$2:$A$33,A20,Tahap!$S$2:$S$33,"Sudah direview")+COUNTIFS(Tahap!$A$2:$A$33,A20,Tahap!$S$2:$S$33,"Disetujui")</f>
        <v>0</v>
      </c>
    </row>
    <row r="21" customFormat="false" ht="15" hidden="false" customHeight="false" outlineLevel="0" collapsed="false">
      <c r="A21" s="8" t="s">
        <v>23</v>
      </c>
      <c r="B21" s="9" t="n">
        <f aca="false">COUNTIF(Tahap!$A$2:$A$33,A21)</f>
        <v>10</v>
      </c>
      <c r="C21" s="9" t="n">
        <f aca="false">COUNTIFS(Tahap!$A$2:$A$33,A21,Tahap!$S$2:$S$33,"Sudah direview")+COUNTIFS(Tahap!$A$2:$A$33,A21,Tahap!$S$2:$S$33,"Disetujui")</f>
        <v>0</v>
      </c>
    </row>
    <row r="22" customFormat="false" ht="15" hidden="false" customHeight="false" outlineLevel="0" collapsed="false">
      <c r="A22" s="8" t="s">
        <v>24</v>
      </c>
      <c r="B22" s="9" t="n">
        <f aca="false">COUNTIF(Tahap!$A$2:$A$33,A22)</f>
        <v>7</v>
      </c>
      <c r="C22" s="9" t="n">
        <f aca="false">COUNTIFS(Tahap!$A$2:$A$33,A22,Tahap!$S$2:$S$33,"Sudah direview")+COUNTIFS(Tahap!$A$2:$A$33,A22,Tahap!$S$2:$S$33,"Disetujui")</f>
        <v>0</v>
      </c>
    </row>
    <row r="23" customFormat="false" ht="15" hidden="false" customHeight="false" outlineLevel="0" collapsed="false">
      <c r="A23" s="8" t="s">
        <v>25</v>
      </c>
      <c r="B23" s="9" t="n">
        <f aca="false">COUNTIF(Tahap!$A$2:$A$33,A23)</f>
        <v>7</v>
      </c>
      <c r="C23" s="9" t="n">
        <f aca="false">COUNTIFS(Tahap!$A$2:$A$33,A23,Tahap!$S$2:$S$33,"Sudah direview")+COUNTIFS(Tahap!$A$2:$A$33,A23,Tahap!$S$2:$S$33,"Disetujui")</f>
        <v>0</v>
      </c>
    </row>
    <row r="24" customFormat="false" ht="15" hidden="false" customHeight="false" outlineLevel="0" collapsed="false">
      <c r="A24" s="3" t="s">
        <v>26</v>
      </c>
      <c r="B24" s="10" t="n">
        <f aca="false">SUM(B20:B23)</f>
        <v>32</v>
      </c>
      <c r="C24" s="10" t="n">
        <f aca="false">SUM(C20:C23)</f>
        <v>0</v>
      </c>
    </row>
    <row r="25" customFormat="false" ht="23.85" hidden="false" customHeight="false" outlineLevel="0" collapsed="false">
      <c r="A25" s="8" t="s">
        <v>27</v>
      </c>
      <c r="B25" s="9" t="n">
        <f aca="false">COUNTIF(Tahap!$P$2:$P$33,"Ya")</f>
        <v>0</v>
      </c>
    </row>
  </sheetData>
  <mergeCells count="11">
    <mergeCell ref="A2:C2"/>
    <mergeCell ref="A5:C5"/>
    <mergeCell ref="A6:C6"/>
    <mergeCell ref="A7:C7"/>
    <mergeCell ref="A8:C8"/>
    <mergeCell ref="A9:C9"/>
    <mergeCell ref="A10:C10"/>
    <mergeCell ref="B13:C13"/>
    <mergeCell ref="B14:C14"/>
    <mergeCell ref="B15:C15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11" min="9" style="0" width="34"/>
    <col collapsed="false" customWidth="true" hidden="false" outlineLevel="0" max="12" min="12" style="0" width="16"/>
    <col collapsed="false" customWidth="true" hidden="false" outlineLevel="0" max="14" min="13" style="0" width="22"/>
    <col collapsed="false" customWidth="true" hidden="false" outlineLevel="0" max="15" min="15" style="0" width="36"/>
    <col collapsed="false" customWidth="true" hidden="false" outlineLevel="0" max="16" min="16" style="0" width="13"/>
    <col collapsed="false" customWidth="true" hidden="false" outlineLevel="0" max="17" min="17" style="0" width="36"/>
    <col collapsed="false" customWidth="true" hidden="false" outlineLevel="0" max="18" min="18" style="0" width="14"/>
    <col collapsed="false" customWidth="true" hidden="false" outlineLevel="0" max="19" min="19" style="0" width="15"/>
  </cols>
  <sheetData>
    <row r="1" customFormat="false" ht="31.5" hidden="false" customHeight="true" outlineLevel="0" collapsed="false">
      <c r="A1" s="11" t="s">
        <v>19</v>
      </c>
      <c r="B1" s="11" t="s">
        <v>28</v>
      </c>
      <c r="C1" s="11" t="s">
        <v>29</v>
      </c>
      <c r="D1" s="11" t="s">
        <v>30</v>
      </c>
      <c r="E1" s="11" t="s">
        <v>31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37</v>
      </c>
      <c r="L1" s="11" t="s">
        <v>38</v>
      </c>
      <c r="M1" s="11" t="s">
        <v>39</v>
      </c>
      <c r="N1" s="11" t="s">
        <v>40</v>
      </c>
      <c r="O1" s="12" t="s">
        <v>10</v>
      </c>
      <c r="P1" s="12" t="s">
        <v>12</v>
      </c>
      <c r="Q1" s="12" t="s">
        <v>14</v>
      </c>
      <c r="R1" s="12" t="s">
        <v>41</v>
      </c>
      <c r="S1" s="12" t="s">
        <v>16</v>
      </c>
    </row>
    <row r="2" customFormat="false" ht="40.5" hidden="false" customHeight="true" outlineLevel="0" collapsed="false">
      <c r="A2" s="13" t="s">
        <v>22</v>
      </c>
      <c r="B2" s="13" t="s">
        <v>42</v>
      </c>
      <c r="C2" s="13" t="n">
        <v>1</v>
      </c>
      <c r="D2" s="13" t="s">
        <v>43</v>
      </c>
      <c r="E2" s="13"/>
      <c r="F2" s="13" t="s">
        <v>44</v>
      </c>
      <c r="G2" s="13"/>
      <c r="H2" s="13" t="s">
        <v>45</v>
      </c>
      <c r="I2" s="13" t="s">
        <v>46</v>
      </c>
      <c r="J2" s="13" t="s">
        <v>47</v>
      </c>
      <c r="K2" s="13"/>
      <c r="L2" s="13" t="s">
        <v>48</v>
      </c>
      <c r="M2" s="13" t="s">
        <v>49</v>
      </c>
      <c r="N2" s="13" t="s">
        <v>50</v>
      </c>
      <c r="O2" s="14"/>
      <c r="P2" s="14"/>
      <c r="Q2" s="14"/>
      <c r="R2" s="14"/>
      <c r="S2" s="14" t="s">
        <v>51</v>
      </c>
    </row>
    <row r="3" customFormat="false" ht="67.5" hidden="false" customHeight="true" outlineLevel="0" collapsed="false">
      <c r="A3" s="13" t="s">
        <v>22</v>
      </c>
      <c r="B3" s="13" t="s">
        <v>42</v>
      </c>
      <c r="C3" s="13" t="n">
        <v>2</v>
      </c>
      <c r="D3" s="13" t="s">
        <v>52</v>
      </c>
      <c r="E3" s="13"/>
      <c r="F3" s="13" t="s">
        <v>44</v>
      </c>
      <c r="G3" s="13"/>
      <c r="H3" s="13" t="s">
        <v>53</v>
      </c>
      <c r="I3" s="13" t="s">
        <v>54</v>
      </c>
      <c r="J3" s="13" t="s">
        <v>55</v>
      </c>
      <c r="K3" s="13" t="s">
        <v>56</v>
      </c>
      <c r="L3" s="13" t="s">
        <v>48</v>
      </c>
      <c r="M3" s="13" t="s">
        <v>57</v>
      </c>
      <c r="N3" s="13" t="s">
        <v>58</v>
      </c>
      <c r="O3" s="14"/>
      <c r="P3" s="14"/>
      <c r="Q3" s="14"/>
      <c r="R3" s="14"/>
      <c r="S3" s="14" t="s">
        <v>51</v>
      </c>
    </row>
    <row r="4" customFormat="false" ht="40.5" hidden="false" customHeight="true" outlineLevel="0" collapsed="false">
      <c r="A4" s="13" t="s">
        <v>22</v>
      </c>
      <c r="B4" s="13" t="s">
        <v>42</v>
      </c>
      <c r="C4" s="13" t="n">
        <v>3</v>
      </c>
      <c r="D4" s="13" t="s">
        <v>59</v>
      </c>
      <c r="E4" s="13"/>
      <c r="F4" s="13" t="s">
        <v>44</v>
      </c>
      <c r="G4" s="13"/>
      <c r="H4" s="13" t="s">
        <v>60</v>
      </c>
      <c r="I4" s="13" t="s">
        <v>61</v>
      </c>
      <c r="J4" s="13" t="s">
        <v>62</v>
      </c>
      <c r="K4" s="13" t="s">
        <v>63</v>
      </c>
      <c r="L4" s="13" t="s">
        <v>48</v>
      </c>
      <c r="M4" s="13" t="s">
        <v>64</v>
      </c>
      <c r="N4" s="13" t="s">
        <v>50</v>
      </c>
      <c r="O4" s="14"/>
      <c r="P4" s="14"/>
      <c r="Q4" s="14"/>
      <c r="R4" s="14"/>
      <c r="S4" s="14" t="s">
        <v>51</v>
      </c>
    </row>
    <row r="5" customFormat="false" ht="27" hidden="false" customHeight="true" outlineLevel="0" collapsed="false">
      <c r="A5" s="13" t="s">
        <v>22</v>
      </c>
      <c r="B5" s="13" t="s">
        <v>42</v>
      </c>
      <c r="C5" s="13" t="n">
        <v>4</v>
      </c>
      <c r="D5" s="13" t="s">
        <v>65</v>
      </c>
      <c r="E5" s="13"/>
      <c r="F5" s="13" t="s">
        <v>44</v>
      </c>
      <c r="G5" s="13"/>
      <c r="H5" s="13" t="s">
        <v>66</v>
      </c>
      <c r="I5" s="13" t="s">
        <v>67</v>
      </c>
      <c r="J5" s="13" t="s">
        <v>68</v>
      </c>
      <c r="K5" s="13" t="s">
        <v>69</v>
      </c>
      <c r="L5" s="13" t="s">
        <v>48</v>
      </c>
      <c r="M5" s="13" t="s">
        <v>70</v>
      </c>
      <c r="N5" s="13" t="s">
        <v>50</v>
      </c>
      <c r="O5" s="14"/>
      <c r="P5" s="14"/>
      <c r="Q5" s="14"/>
      <c r="R5" s="14"/>
      <c r="S5" s="14" t="s">
        <v>51</v>
      </c>
    </row>
    <row r="6" customFormat="false" ht="27" hidden="false" customHeight="true" outlineLevel="0" collapsed="false">
      <c r="A6" s="13" t="s">
        <v>22</v>
      </c>
      <c r="B6" s="13" t="s">
        <v>71</v>
      </c>
      <c r="C6" s="13" t="n">
        <v>5</v>
      </c>
      <c r="D6" s="13" t="s">
        <v>72</v>
      </c>
      <c r="E6" s="13"/>
      <c r="F6" s="13" t="s">
        <v>44</v>
      </c>
      <c r="G6" s="13"/>
      <c r="H6" s="13" t="s">
        <v>73</v>
      </c>
      <c r="I6" s="13" t="s">
        <v>74</v>
      </c>
      <c r="J6" s="13" t="s">
        <v>75</v>
      </c>
      <c r="K6" s="13"/>
      <c r="L6" s="13" t="s">
        <v>76</v>
      </c>
      <c r="M6" s="13" t="s">
        <v>77</v>
      </c>
      <c r="N6" s="13" t="s">
        <v>50</v>
      </c>
      <c r="O6" s="14"/>
      <c r="P6" s="14"/>
      <c r="Q6" s="14"/>
      <c r="R6" s="14"/>
      <c r="S6" s="14" t="s">
        <v>51</v>
      </c>
    </row>
    <row r="7" customFormat="false" ht="81" hidden="false" customHeight="true" outlineLevel="0" collapsed="false">
      <c r="A7" s="13" t="s">
        <v>22</v>
      </c>
      <c r="B7" s="13" t="s">
        <v>71</v>
      </c>
      <c r="C7" s="13" t="n">
        <v>6</v>
      </c>
      <c r="D7" s="13" t="s">
        <v>78</v>
      </c>
      <c r="E7" s="13"/>
      <c r="F7" s="13" t="s">
        <v>44</v>
      </c>
      <c r="G7" s="13" t="s">
        <v>79</v>
      </c>
      <c r="H7" s="13" t="s">
        <v>80</v>
      </c>
      <c r="I7" s="13" t="s">
        <v>81</v>
      </c>
      <c r="J7" s="13" t="s">
        <v>82</v>
      </c>
      <c r="K7" s="13" t="s">
        <v>83</v>
      </c>
      <c r="L7" s="13" t="s">
        <v>76</v>
      </c>
      <c r="M7" s="13" t="s">
        <v>84</v>
      </c>
      <c r="N7" s="13" t="s">
        <v>58</v>
      </c>
      <c r="O7" s="14"/>
      <c r="P7" s="14"/>
      <c r="Q7" s="14"/>
      <c r="R7" s="14"/>
      <c r="S7" s="14" t="s">
        <v>51</v>
      </c>
    </row>
    <row r="8" customFormat="false" ht="27" hidden="false" customHeight="true" outlineLevel="0" collapsed="false">
      <c r="A8" s="13" t="s">
        <v>22</v>
      </c>
      <c r="B8" s="13" t="s">
        <v>85</v>
      </c>
      <c r="C8" s="13" t="s">
        <v>86</v>
      </c>
      <c r="D8" s="13" t="s">
        <v>87</v>
      </c>
      <c r="E8" s="13"/>
      <c r="F8" s="13" t="s">
        <v>44</v>
      </c>
      <c r="G8" s="13"/>
      <c r="H8" s="13" t="s">
        <v>88</v>
      </c>
      <c r="I8" s="13" t="s">
        <v>89</v>
      </c>
      <c r="J8" s="13" t="s">
        <v>90</v>
      </c>
      <c r="K8" s="13" t="s">
        <v>91</v>
      </c>
      <c r="L8" s="13" t="s">
        <v>92</v>
      </c>
      <c r="M8" s="13" t="s">
        <v>93</v>
      </c>
      <c r="N8" s="13" t="s">
        <v>58</v>
      </c>
      <c r="O8" s="14"/>
      <c r="P8" s="14"/>
      <c r="Q8" s="14"/>
      <c r="R8" s="14"/>
      <c r="S8" s="14" t="s">
        <v>51</v>
      </c>
    </row>
    <row r="9" customFormat="false" ht="27" hidden="false" customHeight="true" outlineLevel="0" collapsed="false">
      <c r="A9" s="13" t="s">
        <v>22</v>
      </c>
      <c r="B9" s="13" t="s">
        <v>85</v>
      </c>
      <c r="C9" s="13" t="s">
        <v>86</v>
      </c>
      <c r="D9" s="13" t="s">
        <v>94</v>
      </c>
      <c r="E9" s="13"/>
      <c r="F9" s="13" t="s">
        <v>44</v>
      </c>
      <c r="G9" s="13"/>
      <c r="H9" s="13" t="s">
        <v>95</v>
      </c>
      <c r="I9" s="13" t="s">
        <v>96</v>
      </c>
      <c r="J9" s="13" t="s">
        <v>97</v>
      </c>
      <c r="K9" s="13" t="s">
        <v>98</v>
      </c>
      <c r="L9" s="13" t="s">
        <v>99</v>
      </c>
      <c r="M9" s="13" t="s">
        <v>100</v>
      </c>
      <c r="N9" s="13" t="s">
        <v>101</v>
      </c>
      <c r="O9" s="14"/>
      <c r="P9" s="14"/>
      <c r="Q9" s="14"/>
      <c r="R9" s="14"/>
      <c r="S9" s="14" t="s">
        <v>51</v>
      </c>
    </row>
    <row r="10" customFormat="false" ht="54" hidden="false" customHeight="true" outlineLevel="0" collapsed="false">
      <c r="A10" s="13" t="s">
        <v>23</v>
      </c>
      <c r="B10" s="13" t="s">
        <v>102</v>
      </c>
      <c r="C10" s="13" t="n">
        <v>1</v>
      </c>
      <c r="D10" s="13" t="s">
        <v>103</v>
      </c>
      <c r="E10" s="13"/>
      <c r="F10" s="13" t="s">
        <v>104</v>
      </c>
      <c r="G10" s="13"/>
      <c r="H10" s="13" t="s">
        <v>105</v>
      </c>
      <c r="I10" s="13" t="s">
        <v>106</v>
      </c>
      <c r="J10" s="13" t="s">
        <v>107</v>
      </c>
      <c r="K10" s="13"/>
      <c r="L10" s="13" t="s">
        <v>48</v>
      </c>
      <c r="M10" s="13" t="s">
        <v>108</v>
      </c>
      <c r="N10" s="13" t="s">
        <v>50</v>
      </c>
      <c r="O10" s="14"/>
      <c r="P10" s="14"/>
      <c r="Q10" s="14"/>
      <c r="R10" s="14"/>
      <c r="S10" s="14" t="s">
        <v>51</v>
      </c>
    </row>
    <row r="11" customFormat="false" ht="27" hidden="false" customHeight="true" outlineLevel="0" collapsed="false">
      <c r="A11" s="13" t="s">
        <v>23</v>
      </c>
      <c r="B11" s="13" t="s">
        <v>102</v>
      </c>
      <c r="C11" s="13" t="n">
        <v>2</v>
      </c>
      <c r="D11" s="13" t="s">
        <v>109</v>
      </c>
      <c r="E11" s="13" t="s">
        <v>110</v>
      </c>
      <c r="F11" s="13" t="s">
        <v>79</v>
      </c>
      <c r="G11" s="13"/>
      <c r="H11" s="13" t="s">
        <v>111</v>
      </c>
      <c r="I11" s="13" t="s">
        <v>112</v>
      </c>
      <c r="J11" s="13" t="s">
        <v>113</v>
      </c>
      <c r="K11" s="13"/>
      <c r="L11" s="13" t="s">
        <v>114</v>
      </c>
      <c r="M11" s="13" t="s">
        <v>115</v>
      </c>
      <c r="N11" s="13" t="s">
        <v>50</v>
      </c>
      <c r="O11" s="14"/>
      <c r="P11" s="14"/>
      <c r="Q11" s="14"/>
      <c r="R11" s="14"/>
      <c r="S11" s="14" t="s">
        <v>51</v>
      </c>
    </row>
    <row r="12" customFormat="false" ht="27" hidden="false" customHeight="true" outlineLevel="0" collapsed="false">
      <c r="A12" s="13" t="s">
        <v>23</v>
      </c>
      <c r="B12" s="13" t="s">
        <v>102</v>
      </c>
      <c r="C12" s="13" t="n">
        <v>3</v>
      </c>
      <c r="D12" s="13" t="s">
        <v>116</v>
      </c>
      <c r="E12" s="13"/>
      <c r="F12" s="13" t="s">
        <v>104</v>
      </c>
      <c r="G12" s="13"/>
      <c r="H12" s="13" t="s">
        <v>117</v>
      </c>
      <c r="I12" s="13" t="s">
        <v>118</v>
      </c>
      <c r="J12" s="13" t="s">
        <v>119</v>
      </c>
      <c r="K12" s="13"/>
      <c r="L12" s="13" t="s">
        <v>76</v>
      </c>
      <c r="M12" s="13" t="s">
        <v>120</v>
      </c>
      <c r="N12" s="13" t="s">
        <v>50</v>
      </c>
      <c r="O12" s="14"/>
      <c r="P12" s="14"/>
      <c r="Q12" s="14"/>
      <c r="R12" s="14"/>
      <c r="S12" s="14" t="s">
        <v>51</v>
      </c>
    </row>
    <row r="13" customFormat="false" ht="54" hidden="false" customHeight="true" outlineLevel="0" collapsed="false">
      <c r="A13" s="13" t="s">
        <v>23</v>
      </c>
      <c r="B13" s="13" t="s">
        <v>121</v>
      </c>
      <c r="C13" s="13" t="n">
        <v>4</v>
      </c>
      <c r="D13" s="13" t="s">
        <v>122</v>
      </c>
      <c r="E13" s="13"/>
      <c r="F13" s="13" t="s">
        <v>104</v>
      </c>
      <c r="G13" s="13" t="s">
        <v>79</v>
      </c>
      <c r="H13" s="13" t="s">
        <v>123</v>
      </c>
      <c r="I13" s="13" t="s">
        <v>124</v>
      </c>
      <c r="J13" s="13" t="s">
        <v>125</v>
      </c>
      <c r="K13" s="13" t="s">
        <v>126</v>
      </c>
      <c r="L13" s="13" t="s">
        <v>127</v>
      </c>
      <c r="M13" s="13" t="s">
        <v>128</v>
      </c>
      <c r="N13" s="13" t="s">
        <v>58</v>
      </c>
      <c r="O13" s="14"/>
      <c r="P13" s="14"/>
      <c r="Q13" s="14"/>
      <c r="R13" s="14"/>
      <c r="S13" s="14" t="s">
        <v>51</v>
      </c>
    </row>
    <row r="14" customFormat="false" ht="67.5" hidden="false" customHeight="true" outlineLevel="0" collapsed="false">
      <c r="A14" s="13" t="s">
        <v>23</v>
      </c>
      <c r="B14" s="13" t="s">
        <v>121</v>
      </c>
      <c r="C14" s="13" t="n">
        <v>5</v>
      </c>
      <c r="D14" s="13" t="s">
        <v>129</v>
      </c>
      <c r="E14" s="13"/>
      <c r="F14" s="13" t="s">
        <v>44</v>
      </c>
      <c r="G14" s="13" t="s">
        <v>79</v>
      </c>
      <c r="H14" s="13" t="s">
        <v>130</v>
      </c>
      <c r="I14" s="13" t="s">
        <v>131</v>
      </c>
      <c r="J14" s="13" t="s">
        <v>132</v>
      </c>
      <c r="K14" s="13"/>
      <c r="L14" s="13" t="s">
        <v>133</v>
      </c>
      <c r="M14" s="13" t="s">
        <v>134</v>
      </c>
      <c r="N14" s="13" t="s">
        <v>101</v>
      </c>
      <c r="O14" s="14"/>
      <c r="P14" s="14"/>
      <c r="Q14" s="14"/>
      <c r="R14" s="14"/>
      <c r="S14" s="14" t="s">
        <v>51</v>
      </c>
    </row>
    <row r="15" customFormat="false" ht="40.5" hidden="false" customHeight="true" outlineLevel="0" collapsed="false">
      <c r="A15" s="13" t="s">
        <v>23</v>
      </c>
      <c r="B15" s="13" t="s">
        <v>121</v>
      </c>
      <c r="C15" s="13" t="n">
        <v>6</v>
      </c>
      <c r="D15" s="13" t="s">
        <v>135</v>
      </c>
      <c r="E15" s="13"/>
      <c r="F15" s="13" t="s">
        <v>104</v>
      </c>
      <c r="G15" s="13" t="s">
        <v>79</v>
      </c>
      <c r="H15" s="13" t="s">
        <v>136</v>
      </c>
      <c r="I15" s="13" t="s">
        <v>137</v>
      </c>
      <c r="J15" s="13" t="s">
        <v>138</v>
      </c>
      <c r="K15" s="13" t="s">
        <v>139</v>
      </c>
      <c r="L15" s="13" t="s">
        <v>140</v>
      </c>
      <c r="M15" s="13" t="s">
        <v>141</v>
      </c>
      <c r="N15" s="13" t="s">
        <v>50</v>
      </c>
      <c r="O15" s="14"/>
      <c r="P15" s="14"/>
      <c r="Q15" s="14"/>
      <c r="R15" s="14"/>
      <c r="S15" s="14" t="s">
        <v>51</v>
      </c>
    </row>
    <row r="16" customFormat="false" ht="27" hidden="false" customHeight="true" outlineLevel="0" collapsed="false">
      <c r="A16" s="13" t="s">
        <v>23</v>
      </c>
      <c r="B16" s="13" t="s">
        <v>142</v>
      </c>
      <c r="C16" s="13" t="n">
        <v>7</v>
      </c>
      <c r="D16" s="13" t="s">
        <v>143</v>
      </c>
      <c r="E16" s="13"/>
      <c r="F16" s="13" t="s">
        <v>44</v>
      </c>
      <c r="G16" s="13"/>
      <c r="H16" s="13" t="s">
        <v>144</v>
      </c>
      <c r="I16" s="13" t="s">
        <v>145</v>
      </c>
      <c r="J16" s="13" t="s">
        <v>146</v>
      </c>
      <c r="K16" s="13" t="s">
        <v>147</v>
      </c>
      <c r="L16" s="13" t="s">
        <v>148</v>
      </c>
      <c r="M16" s="13" t="s">
        <v>149</v>
      </c>
      <c r="N16" s="13" t="s">
        <v>58</v>
      </c>
      <c r="O16" s="14"/>
      <c r="P16" s="14"/>
      <c r="Q16" s="14"/>
      <c r="R16" s="14"/>
      <c r="S16" s="14" t="s">
        <v>51</v>
      </c>
    </row>
    <row r="17" customFormat="false" ht="40.5" hidden="false" customHeight="true" outlineLevel="0" collapsed="false">
      <c r="A17" s="13" t="s">
        <v>23</v>
      </c>
      <c r="B17" s="13" t="s">
        <v>142</v>
      </c>
      <c r="C17" s="13" t="n">
        <v>8</v>
      </c>
      <c r="D17" s="13" t="s">
        <v>150</v>
      </c>
      <c r="E17" s="13"/>
      <c r="F17" s="13" t="s">
        <v>44</v>
      </c>
      <c r="G17" s="13"/>
      <c r="H17" s="13" t="s">
        <v>151</v>
      </c>
      <c r="I17" s="13" t="s">
        <v>152</v>
      </c>
      <c r="J17" s="13" t="s">
        <v>153</v>
      </c>
      <c r="K17" s="13"/>
      <c r="L17" s="13" t="s">
        <v>154</v>
      </c>
      <c r="M17" s="13" t="s">
        <v>155</v>
      </c>
      <c r="N17" s="13" t="s">
        <v>50</v>
      </c>
      <c r="O17" s="14"/>
      <c r="P17" s="14"/>
      <c r="Q17" s="14"/>
      <c r="R17" s="14"/>
      <c r="S17" s="14" t="s">
        <v>51</v>
      </c>
    </row>
    <row r="18" customFormat="false" ht="27" hidden="false" customHeight="true" outlineLevel="0" collapsed="false">
      <c r="A18" s="13" t="s">
        <v>23</v>
      </c>
      <c r="B18" s="13" t="s">
        <v>85</v>
      </c>
      <c r="C18" s="13" t="s">
        <v>86</v>
      </c>
      <c r="D18" s="13" t="s">
        <v>87</v>
      </c>
      <c r="E18" s="13"/>
      <c r="F18" s="13" t="s">
        <v>44</v>
      </c>
      <c r="G18" s="13"/>
      <c r="H18" s="13" t="s">
        <v>88</v>
      </c>
      <c r="I18" s="13" t="s">
        <v>89</v>
      </c>
      <c r="J18" s="13" t="s">
        <v>90</v>
      </c>
      <c r="K18" s="13" t="s">
        <v>91</v>
      </c>
      <c r="L18" s="13" t="s">
        <v>92</v>
      </c>
      <c r="M18" s="13" t="s">
        <v>156</v>
      </c>
      <c r="N18" s="13" t="s">
        <v>58</v>
      </c>
      <c r="O18" s="14"/>
      <c r="P18" s="14"/>
      <c r="Q18" s="14"/>
      <c r="R18" s="14"/>
      <c r="S18" s="14" t="s">
        <v>51</v>
      </c>
    </row>
    <row r="19" customFormat="false" ht="27" hidden="false" customHeight="true" outlineLevel="0" collapsed="false">
      <c r="A19" s="13" t="s">
        <v>23</v>
      </c>
      <c r="B19" s="13" t="s">
        <v>85</v>
      </c>
      <c r="C19" s="13" t="s">
        <v>86</v>
      </c>
      <c r="D19" s="13" t="s">
        <v>94</v>
      </c>
      <c r="E19" s="13"/>
      <c r="F19" s="13" t="s">
        <v>44</v>
      </c>
      <c r="G19" s="13"/>
      <c r="H19" s="13" t="s">
        <v>95</v>
      </c>
      <c r="I19" s="13" t="s">
        <v>96</v>
      </c>
      <c r="J19" s="13" t="s">
        <v>97</v>
      </c>
      <c r="K19" s="13" t="s">
        <v>98</v>
      </c>
      <c r="L19" s="13" t="s">
        <v>99</v>
      </c>
      <c r="M19" s="13" t="s">
        <v>157</v>
      </c>
      <c r="N19" s="13" t="s">
        <v>158</v>
      </c>
      <c r="O19" s="14"/>
      <c r="P19" s="14"/>
      <c r="Q19" s="14"/>
      <c r="R19" s="14"/>
      <c r="S19" s="14" t="s">
        <v>51</v>
      </c>
    </row>
    <row r="20" customFormat="false" ht="40.5" hidden="false" customHeight="true" outlineLevel="0" collapsed="false">
      <c r="A20" s="13" t="s">
        <v>24</v>
      </c>
      <c r="B20" s="13" t="s">
        <v>159</v>
      </c>
      <c r="C20" s="13" t="n">
        <v>1</v>
      </c>
      <c r="D20" s="13" t="s">
        <v>160</v>
      </c>
      <c r="E20" s="13"/>
      <c r="F20" s="13" t="s">
        <v>161</v>
      </c>
      <c r="G20" s="13"/>
      <c r="H20" s="13" t="s">
        <v>162</v>
      </c>
      <c r="I20" s="13" t="s">
        <v>163</v>
      </c>
      <c r="J20" s="13" t="s">
        <v>164</v>
      </c>
      <c r="K20" s="13"/>
      <c r="L20" s="13" t="s">
        <v>165</v>
      </c>
      <c r="M20" s="13" t="s">
        <v>166</v>
      </c>
      <c r="N20" s="13" t="s">
        <v>50</v>
      </c>
      <c r="O20" s="14"/>
      <c r="P20" s="14"/>
      <c r="Q20" s="14"/>
      <c r="R20" s="14"/>
      <c r="S20" s="14" t="s">
        <v>51</v>
      </c>
    </row>
    <row r="21" customFormat="false" ht="67.5" hidden="false" customHeight="true" outlineLevel="0" collapsed="false">
      <c r="A21" s="13" t="s">
        <v>24</v>
      </c>
      <c r="B21" s="13" t="s">
        <v>159</v>
      </c>
      <c r="C21" s="13" t="n">
        <v>2</v>
      </c>
      <c r="D21" s="13" t="s">
        <v>167</v>
      </c>
      <c r="E21" s="13"/>
      <c r="F21" s="13" t="s">
        <v>161</v>
      </c>
      <c r="G21" s="13"/>
      <c r="H21" s="13" t="s">
        <v>168</v>
      </c>
      <c r="I21" s="13" t="s">
        <v>169</v>
      </c>
      <c r="J21" s="13" t="s">
        <v>170</v>
      </c>
      <c r="K21" s="13" t="s">
        <v>171</v>
      </c>
      <c r="L21" s="13" t="s">
        <v>165</v>
      </c>
      <c r="M21" s="13" t="s">
        <v>172</v>
      </c>
      <c r="N21" s="13" t="s">
        <v>50</v>
      </c>
      <c r="O21" s="14"/>
      <c r="P21" s="14"/>
      <c r="Q21" s="14"/>
      <c r="R21" s="14"/>
      <c r="S21" s="14" t="s">
        <v>51</v>
      </c>
    </row>
    <row r="22" customFormat="false" ht="27" hidden="false" customHeight="true" outlineLevel="0" collapsed="false">
      <c r="A22" s="13" t="s">
        <v>24</v>
      </c>
      <c r="B22" s="13" t="s">
        <v>159</v>
      </c>
      <c r="C22" s="13" t="n">
        <v>3</v>
      </c>
      <c r="D22" s="13" t="s">
        <v>173</v>
      </c>
      <c r="E22" s="13"/>
      <c r="F22" s="13" t="s">
        <v>161</v>
      </c>
      <c r="G22" s="13"/>
      <c r="H22" s="13" t="s">
        <v>174</v>
      </c>
      <c r="I22" s="13" t="s">
        <v>175</v>
      </c>
      <c r="J22" s="13" t="s">
        <v>176</v>
      </c>
      <c r="K22" s="13"/>
      <c r="L22" s="13" t="s">
        <v>165</v>
      </c>
      <c r="M22" s="13" t="s">
        <v>177</v>
      </c>
      <c r="N22" s="13" t="s">
        <v>50</v>
      </c>
      <c r="O22" s="14"/>
      <c r="P22" s="14"/>
      <c r="Q22" s="14"/>
      <c r="R22" s="14"/>
      <c r="S22" s="14" t="s">
        <v>51</v>
      </c>
    </row>
    <row r="23" customFormat="false" ht="54" hidden="false" customHeight="true" outlineLevel="0" collapsed="false">
      <c r="A23" s="13" t="s">
        <v>24</v>
      </c>
      <c r="B23" s="13" t="s">
        <v>178</v>
      </c>
      <c r="C23" s="13" t="n">
        <v>4</v>
      </c>
      <c r="D23" s="13" t="s">
        <v>179</v>
      </c>
      <c r="E23" s="13"/>
      <c r="F23" s="13" t="s">
        <v>44</v>
      </c>
      <c r="G23" s="13"/>
      <c r="H23" s="13" t="s">
        <v>180</v>
      </c>
      <c r="I23" s="13" t="s">
        <v>181</v>
      </c>
      <c r="J23" s="13"/>
      <c r="K23" s="13" t="s">
        <v>182</v>
      </c>
      <c r="L23" s="13" t="s">
        <v>183</v>
      </c>
      <c r="M23" s="13" t="s">
        <v>184</v>
      </c>
      <c r="N23" s="13" t="s">
        <v>185</v>
      </c>
      <c r="O23" s="14"/>
      <c r="P23" s="14"/>
      <c r="Q23" s="14"/>
      <c r="R23" s="14"/>
      <c r="S23" s="14" t="s">
        <v>51</v>
      </c>
    </row>
    <row r="24" customFormat="false" ht="27" hidden="false" customHeight="true" outlineLevel="0" collapsed="false">
      <c r="A24" s="13" t="s">
        <v>24</v>
      </c>
      <c r="B24" s="13" t="s">
        <v>178</v>
      </c>
      <c r="C24" s="13" t="n">
        <v>5</v>
      </c>
      <c r="D24" s="13" t="s">
        <v>186</v>
      </c>
      <c r="E24" s="13"/>
      <c r="F24" s="13" t="s">
        <v>44</v>
      </c>
      <c r="G24" s="13"/>
      <c r="H24" s="13" t="s">
        <v>187</v>
      </c>
      <c r="I24" s="13" t="s">
        <v>188</v>
      </c>
      <c r="J24" s="13" t="s">
        <v>189</v>
      </c>
      <c r="K24" s="13" t="s">
        <v>190</v>
      </c>
      <c r="L24" s="13" t="s">
        <v>191</v>
      </c>
      <c r="M24" s="13" t="s">
        <v>192</v>
      </c>
      <c r="N24" s="13" t="s">
        <v>185</v>
      </c>
      <c r="O24" s="14"/>
      <c r="P24" s="14"/>
      <c r="Q24" s="14"/>
      <c r="R24" s="14"/>
      <c r="S24" s="14" t="s">
        <v>51</v>
      </c>
    </row>
    <row r="25" customFormat="false" ht="40.5" hidden="false" customHeight="true" outlineLevel="0" collapsed="false">
      <c r="A25" s="13" t="s">
        <v>24</v>
      </c>
      <c r="B25" s="13" t="s">
        <v>178</v>
      </c>
      <c r="C25" s="13" t="n">
        <v>6</v>
      </c>
      <c r="D25" s="13" t="s">
        <v>193</v>
      </c>
      <c r="E25" s="13"/>
      <c r="F25" s="13" t="s">
        <v>104</v>
      </c>
      <c r="G25" s="13"/>
      <c r="H25" s="13" t="s">
        <v>194</v>
      </c>
      <c r="I25" s="13" t="s">
        <v>195</v>
      </c>
      <c r="J25" s="13" t="s">
        <v>196</v>
      </c>
      <c r="K25" s="13" t="s">
        <v>197</v>
      </c>
      <c r="L25" s="13" t="s">
        <v>198</v>
      </c>
      <c r="M25" s="13" t="s">
        <v>199</v>
      </c>
      <c r="N25" s="13" t="s">
        <v>185</v>
      </c>
      <c r="O25" s="14"/>
      <c r="P25" s="14"/>
      <c r="Q25" s="14"/>
      <c r="R25" s="14"/>
      <c r="S25" s="14" t="s">
        <v>51</v>
      </c>
    </row>
    <row r="26" customFormat="false" ht="40.5" hidden="false" customHeight="true" outlineLevel="0" collapsed="false">
      <c r="A26" s="13" t="s">
        <v>24</v>
      </c>
      <c r="B26" s="13" t="s">
        <v>178</v>
      </c>
      <c r="C26" s="13" t="n">
        <v>7</v>
      </c>
      <c r="D26" s="13" t="s">
        <v>200</v>
      </c>
      <c r="E26" s="13"/>
      <c r="F26" s="13" t="s">
        <v>104</v>
      </c>
      <c r="G26" s="13"/>
      <c r="H26" s="13" t="s">
        <v>201</v>
      </c>
      <c r="I26" s="13" t="s">
        <v>202</v>
      </c>
      <c r="J26" s="13" t="s">
        <v>203</v>
      </c>
      <c r="K26" s="13" t="s">
        <v>204</v>
      </c>
      <c r="L26" s="13" t="s">
        <v>191</v>
      </c>
      <c r="M26" s="13" t="s">
        <v>205</v>
      </c>
      <c r="N26" s="13" t="s">
        <v>185</v>
      </c>
      <c r="O26" s="14"/>
      <c r="P26" s="14"/>
      <c r="Q26" s="14"/>
      <c r="R26" s="14"/>
      <c r="S26" s="14" t="s">
        <v>51</v>
      </c>
    </row>
    <row r="27" customFormat="false" ht="67.5" hidden="false" customHeight="true" outlineLevel="0" collapsed="false">
      <c r="A27" s="13" t="s">
        <v>25</v>
      </c>
      <c r="B27" s="13" t="s">
        <v>206</v>
      </c>
      <c r="C27" s="13" t="n">
        <v>1</v>
      </c>
      <c r="D27" s="13" t="s">
        <v>207</v>
      </c>
      <c r="E27" s="13"/>
      <c r="F27" s="13" t="s">
        <v>44</v>
      </c>
      <c r="G27" s="13"/>
      <c r="H27" s="13" t="s">
        <v>208</v>
      </c>
      <c r="I27" s="13" t="s">
        <v>209</v>
      </c>
      <c r="J27" s="13" t="s">
        <v>210</v>
      </c>
      <c r="K27" s="13" t="s">
        <v>211</v>
      </c>
      <c r="L27" s="13" t="s">
        <v>48</v>
      </c>
      <c r="M27" s="13" t="s">
        <v>212</v>
      </c>
      <c r="N27" s="13" t="s">
        <v>213</v>
      </c>
      <c r="O27" s="14"/>
      <c r="P27" s="14"/>
      <c r="Q27" s="14"/>
      <c r="R27" s="14"/>
      <c r="S27" s="14" t="s">
        <v>51</v>
      </c>
    </row>
    <row r="28" customFormat="false" ht="67.5" hidden="false" customHeight="true" outlineLevel="0" collapsed="false">
      <c r="A28" s="13" t="s">
        <v>25</v>
      </c>
      <c r="B28" s="13" t="s">
        <v>206</v>
      </c>
      <c r="C28" s="13" t="n">
        <v>2</v>
      </c>
      <c r="D28" s="13" t="s">
        <v>214</v>
      </c>
      <c r="E28" s="13"/>
      <c r="F28" s="13" t="s">
        <v>44</v>
      </c>
      <c r="G28" s="13"/>
      <c r="H28" s="13" t="s">
        <v>215</v>
      </c>
      <c r="I28" s="13" t="s">
        <v>216</v>
      </c>
      <c r="J28" s="13" t="s">
        <v>217</v>
      </c>
      <c r="K28" s="13" t="s">
        <v>218</v>
      </c>
      <c r="L28" s="13" t="s">
        <v>48</v>
      </c>
      <c r="M28" s="13" t="s">
        <v>219</v>
      </c>
      <c r="N28" s="13" t="s">
        <v>220</v>
      </c>
      <c r="O28" s="14"/>
      <c r="P28" s="14"/>
      <c r="Q28" s="14"/>
      <c r="R28" s="14"/>
      <c r="S28" s="14" t="s">
        <v>51</v>
      </c>
    </row>
    <row r="29" customFormat="false" ht="40.5" hidden="false" customHeight="true" outlineLevel="0" collapsed="false">
      <c r="A29" s="13" t="s">
        <v>25</v>
      </c>
      <c r="B29" s="13" t="s">
        <v>206</v>
      </c>
      <c r="C29" s="13" t="n">
        <v>3</v>
      </c>
      <c r="D29" s="13" t="s">
        <v>65</v>
      </c>
      <c r="E29" s="13"/>
      <c r="F29" s="13" t="s">
        <v>44</v>
      </c>
      <c r="G29" s="13"/>
      <c r="H29" s="13" t="s">
        <v>221</v>
      </c>
      <c r="I29" s="13" t="s">
        <v>222</v>
      </c>
      <c r="J29" s="13" t="s">
        <v>223</v>
      </c>
      <c r="K29" s="13" t="s">
        <v>224</v>
      </c>
      <c r="L29" s="13" t="s">
        <v>48</v>
      </c>
      <c r="M29" s="13" t="s">
        <v>225</v>
      </c>
      <c r="N29" s="13" t="s">
        <v>226</v>
      </c>
      <c r="O29" s="14"/>
      <c r="P29" s="14"/>
      <c r="Q29" s="14"/>
      <c r="R29" s="14"/>
      <c r="S29" s="14" t="s">
        <v>51</v>
      </c>
    </row>
    <row r="30" customFormat="false" ht="27" hidden="false" customHeight="true" outlineLevel="0" collapsed="false">
      <c r="A30" s="13" t="s">
        <v>25</v>
      </c>
      <c r="B30" s="13" t="s">
        <v>227</v>
      </c>
      <c r="C30" s="13" t="n">
        <v>4</v>
      </c>
      <c r="D30" s="13" t="s">
        <v>72</v>
      </c>
      <c r="E30" s="13"/>
      <c r="F30" s="13" t="s">
        <v>44</v>
      </c>
      <c r="G30" s="13"/>
      <c r="H30" s="13" t="s">
        <v>228</v>
      </c>
      <c r="I30" s="13" t="s">
        <v>229</v>
      </c>
      <c r="J30" s="13" t="s">
        <v>230</v>
      </c>
      <c r="K30" s="13" t="s">
        <v>231</v>
      </c>
      <c r="L30" s="13" t="s">
        <v>76</v>
      </c>
      <c r="M30" s="13" t="s">
        <v>232</v>
      </c>
      <c r="N30" s="13" t="s">
        <v>233</v>
      </c>
      <c r="O30" s="14"/>
      <c r="P30" s="14"/>
      <c r="Q30" s="14"/>
      <c r="R30" s="14"/>
      <c r="S30" s="14" t="s">
        <v>51</v>
      </c>
    </row>
    <row r="31" customFormat="false" ht="40.5" hidden="false" customHeight="true" outlineLevel="0" collapsed="false">
      <c r="A31" s="13" t="s">
        <v>25</v>
      </c>
      <c r="B31" s="13" t="s">
        <v>227</v>
      </c>
      <c r="C31" s="13" t="n">
        <v>5</v>
      </c>
      <c r="D31" s="13" t="s">
        <v>234</v>
      </c>
      <c r="E31" s="13"/>
      <c r="F31" s="13" t="s">
        <v>44</v>
      </c>
      <c r="G31" s="13"/>
      <c r="H31" s="13" t="s">
        <v>235</v>
      </c>
      <c r="I31" s="13" t="s">
        <v>236</v>
      </c>
      <c r="J31" s="13" t="s">
        <v>237</v>
      </c>
      <c r="K31" s="13"/>
      <c r="L31" s="13" t="s">
        <v>76</v>
      </c>
      <c r="M31" s="13" t="s">
        <v>238</v>
      </c>
      <c r="N31" s="13" t="s">
        <v>239</v>
      </c>
      <c r="O31" s="14"/>
      <c r="P31" s="14"/>
      <c r="Q31" s="14"/>
      <c r="R31" s="14"/>
      <c r="S31" s="14" t="s">
        <v>51</v>
      </c>
    </row>
    <row r="32" customFormat="false" ht="27" hidden="false" customHeight="true" outlineLevel="0" collapsed="false">
      <c r="A32" s="13" t="s">
        <v>25</v>
      </c>
      <c r="B32" s="13" t="s">
        <v>85</v>
      </c>
      <c r="C32" s="13" t="s">
        <v>86</v>
      </c>
      <c r="D32" s="13" t="s">
        <v>87</v>
      </c>
      <c r="E32" s="13"/>
      <c r="F32" s="13" t="s">
        <v>44</v>
      </c>
      <c r="G32" s="13"/>
      <c r="H32" s="13" t="s">
        <v>88</v>
      </c>
      <c r="I32" s="13" t="s">
        <v>89</v>
      </c>
      <c r="J32" s="13" t="s">
        <v>90</v>
      </c>
      <c r="K32" s="13" t="s">
        <v>91</v>
      </c>
      <c r="L32" s="13" t="s">
        <v>92</v>
      </c>
      <c r="M32" s="13" t="s">
        <v>240</v>
      </c>
      <c r="N32" s="13" t="s">
        <v>241</v>
      </c>
      <c r="O32" s="14"/>
      <c r="P32" s="14"/>
      <c r="Q32" s="14"/>
      <c r="R32" s="14"/>
      <c r="S32" s="14" t="s">
        <v>51</v>
      </c>
    </row>
    <row r="33" customFormat="false" ht="27" hidden="false" customHeight="true" outlineLevel="0" collapsed="false">
      <c r="A33" s="13" t="s">
        <v>25</v>
      </c>
      <c r="B33" s="13" t="s">
        <v>85</v>
      </c>
      <c r="C33" s="13" t="s">
        <v>86</v>
      </c>
      <c r="D33" s="13" t="s">
        <v>94</v>
      </c>
      <c r="E33" s="13"/>
      <c r="F33" s="13" t="s">
        <v>44</v>
      </c>
      <c r="G33" s="13"/>
      <c r="H33" s="13" t="s">
        <v>95</v>
      </c>
      <c r="I33" s="13" t="s">
        <v>96</v>
      </c>
      <c r="J33" s="13" t="s">
        <v>97</v>
      </c>
      <c r="K33" s="13" t="s">
        <v>98</v>
      </c>
      <c r="L33" s="13" t="s">
        <v>99</v>
      </c>
      <c r="M33" s="13" t="s">
        <v>242</v>
      </c>
      <c r="N33" s="13" t="s">
        <v>243</v>
      </c>
      <c r="O33" s="14"/>
      <c r="P33" s="14"/>
      <c r="Q33" s="14"/>
      <c r="R33" s="14"/>
      <c r="S33" s="14" t="s">
        <v>51</v>
      </c>
    </row>
  </sheetData>
  <autoFilter ref="A1:S33"/>
  <dataValidations count="2">
    <dataValidation allowBlank="true" errorStyle="stop" operator="between" showDropDown="false" showErrorMessage="false" showInputMessage="false" sqref="P2:P33" type="list">
      <formula1>"Ya,Tidak,Perlu cek"</formula1>
      <formula2>0</formula2>
    </dataValidation>
    <dataValidation allowBlank="false" errorStyle="stop" operator="between" showDropDown="false" showErrorMessage="false" showInputMessage="false" sqref="S2:S33" type="list">
      <formula1>"Belum direview,Sedang direview,Sudah direview,Disetujui"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9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40"/>
    <col collapsed="false" customWidth="true" hidden="false" outlineLevel="0" max="7" min="7" style="0" width="13"/>
    <col collapsed="false" customWidth="true" hidden="false" outlineLevel="0" max="8" min="8" style="0" width="36"/>
    <col collapsed="false" customWidth="true" hidden="false" outlineLevel="0" max="9" min="9" style="0" width="14"/>
  </cols>
  <sheetData>
    <row r="1" customFormat="false" ht="31.5" hidden="false" customHeight="true" outlineLevel="0" collapsed="false">
      <c r="A1" s="11" t="s">
        <v>19</v>
      </c>
      <c r="B1" s="11" t="s">
        <v>30</v>
      </c>
      <c r="C1" s="11" t="s">
        <v>244</v>
      </c>
      <c r="D1" s="11" t="s">
        <v>245</v>
      </c>
      <c r="E1" s="11" t="s">
        <v>246</v>
      </c>
      <c r="F1" s="12" t="s">
        <v>10</v>
      </c>
      <c r="G1" s="12" t="s">
        <v>12</v>
      </c>
      <c r="H1" s="12" t="s">
        <v>247</v>
      </c>
      <c r="I1" s="12" t="s">
        <v>41</v>
      </c>
    </row>
    <row r="2" customFormat="false" ht="15" hidden="false" customHeight="true" outlineLevel="0" collapsed="false">
      <c r="A2" s="13" t="s">
        <v>22</v>
      </c>
      <c r="B2" s="13" t="s">
        <v>248</v>
      </c>
      <c r="C2" s="13" t="s">
        <v>249</v>
      </c>
      <c r="D2" s="13" t="s">
        <v>250</v>
      </c>
      <c r="E2" s="13"/>
      <c r="F2" s="14"/>
      <c r="G2" s="14"/>
      <c r="H2" s="14"/>
      <c r="I2" s="14"/>
    </row>
    <row r="3" customFormat="false" ht="15" hidden="false" customHeight="true" outlineLevel="0" collapsed="false">
      <c r="A3" s="13" t="s">
        <v>22</v>
      </c>
      <c r="B3" s="13" t="s">
        <v>248</v>
      </c>
      <c r="C3" s="13" t="s">
        <v>249</v>
      </c>
      <c r="D3" s="13" t="s">
        <v>251</v>
      </c>
      <c r="E3" s="13"/>
      <c r="F3" s="14"/>
      <c r="G3" s="14"/>
      <c r="H3" s="14"/>
      <c r="I3" s="14"/>
    </row>
    <row r="4" customFormat="false" ht="15" hidden="false" customHeight="true" outlineLevel="0" collapsed="false">
      <c r="A4" s="13" t="s">
        <v>22</v>
      </c>
      <c r="B4" s="13" t="s">
        <v>248</v>
      </c>
      <c r="C4" s="13" t="s">
        <v>249</v>
      </c>
      <c r="D4" s="13" t="s">
        <v>252</v>
      </c>
      <c r="E4" s="13"/>
      <c r="F4" s="14"/>
      <c r="G4" s="14"/>
      <c r="H4" s="14"/>
      <c r="I4" s="14"/>
    </row>
    <row r="5" customFormat="false" ht="15" hidden="false" customHeight="true" outlineLevel="0" collapsed="false">
      <c r="A5" s="13" t="s">
        <v>22</v>
      </c>
      <c r="B5" s="13" t="s">
        <v>248</v>
      </c>
      <c r="C5" s="13" t="s">
        <v>253</v>
      </c>
      <c r="D5" s="13" t="s">
        <v>254</v>
      </c>
      <c r="E5" s="13"/>
      <c r="F5" s="14"/>
      <c r="G5" s="14"/>
      <c r="H5" s="14"/>
      <c r="I5" s="14"/>
    </row>
    <row r="6" customFormat="false" ht="15" hidden="false" customHeight="true" outlineLevel="0" collapsed="false">
      <c r="A6" s="13" t="s">
        <v>22</v>
      </c>
      <c r="B6" s="13" t="s">
        <v>248</v>
      </c>
      <c r="C6" s="13" t="s">
        <v>253</v>
      </c>
      <c r="D6" s="13" t="s">
        <v>255</v>
      </c>
      <c r="E6" s="13"/>
      <c r="F6" s="14"/>
      <c r="G6" s="14"/>
      <c r="H6" s="14"/>
      <c r="I6" s="14"/>
    </row>
    <row r="7" customFormat="false" ht="15" hidden="false" customHeight="true" outlineLevel="0" collapsed="false">
      <c r="A7" s="13" t="s">
        <v>22</v>
      </c>
      <c r="B7" s="13" t="s">
        <v>256</v>
      </c>
      <c r="C7" s="13" t="s">
        <v>249</v>
      </c>
      <c r="D7" s="13" t="s">
        <v>257</v>
      </c>
      <c r="E7" s="13"/>
      <c r="F7" s="14"/>
      <c r="G7" s="14"/>
      <c r="H7" s="14"/>
      <c r="I7" s="14"/>
    </row>
    <row r="8" customFormat="false" ht="15" hidden="false" customHeight="true" outlineLevel="0" collapsed="false">
      <c r="A8" s="13" t="s">
        <v>22</v>
      </c>
      <c r="B8" s="13" t="s">
        <v>256</v>
      </c>
      <c r="C8" s="13" t="s">
        <v>249</v>
      </c>
      <c r="D8" s="13" t="s">
        <v>251</v>
      </c>
      <c r="E8" s="13"/>
      <c r="F8" s="14"/>
      <c r="G8" s="14"/>
      <c r="H8" s="14"/>
      <c r="I8" s="14"/>
    </row>
    <row r="9" customFormat="false" ht="15" hidden="false" customHeight="true" outlineLevel="0" collapsed="false">
      <c r="A9" s="13" t="s">
        <v>22</v>
      </c>
      <c r="B9" s="13" t="s">
        <v>256</v>
      </c>
      <c r="C9" s="13" t="s">
        <v>249</v>
      </c>
      <c r="D9" s="13" t="s">
        <v>258</v>
      </c>
      <c r="E9" s="13"/>
      <c r="F9" s="14"/>
      <c r="G9" s="14"/>
      <c r="H9" s="14"/>
      <c r="I9" s="14"/>
    </row>
    <row r="10" customFormat="false" ht="15" hidden="false" customHeight="true" outlineLevel="0" collapsed="false">
      <c r="A10" s="13" t="s">
        <v>22</v>
      </c>
      <c r="B10" s="13" t="s">
        <v>256</v>
      </c>
      <c r="C10" s="13" t="s">
        <v>249</v>
      </c>
      <c r="D10" s="13" t="s">
        <v>259</v>
      </c>
      <c r="E10" s="13"/>
      <c r="F10" s="14"/>
      <c r="G10" s="14"/>
      <c r="H10" s="14"/>
      <c r="I10" s="14"/>
    </row>
    <row r="11" customFormat="false" ht="15" hidden="false" customHeight="true" outlineLevel="0" collapsed="false">
      <c r="A11" s="13" t="s">
        <v>22</v>
      </c>
      <c r="B11" s="13" t="s">
        <v>256</v>
      </c>
      <c r="C11" s="13" t="s">
        <v>249</v>
      </c>
      <c r="D11" s="13" t="s">
        <v>260</v>
      </c>
      <c r="E11" s="13"/>
      <c r="F11" s="14"/>
      <c r="G11" s="14"/>
      <c r="H11" s="14"/>
      <c r="I11" s="14"/>
    </row>
    <row r="12" customFormat="false" ht="15" hidden="false" customHeight="true" outlineLevel="0" collapsed="false">
      <c r="A12" s="13" t="s">
        <v>22</v>
      </c>
      <c r="B12" s="13" t="s">
        <v>256</v>
      </c>
      <c r="C12" s="13" t="s">
        <v>253</v>
      </c>
      <c r="D12" s="13" t="s">
        <v>261</v>
      </c>
      <c r="E12" s="13"/>
      <c r="F12" s="14"/>
      <c r="G12" s="14"/>
      <c r="H12" s="14"/>
      <c r="I12" s="14"/>
    </row>
    <row r="13" customFormat="false" ht="15" hidden="false" customHeight="true" outlineLevel="0" collapsed="false">
      <c r="A13" s="13" t="s">
        <v>22</v>
      </c>
      <c r="B13" s="13" t="s">
        <v>256</v>
      </c>
      <c r="C13" s="13" t="s">
        <v>253</v>
      </c>
      <c r="D13" s="13" t="s">
        <v>262</v>
      </c>
      <c r="E13" s="13"/>
      <c r="F13" s="14"/>
      <c r="G13" s="14"/>
      <c r="H13" s="14"/>
      <c r="I13" s="14"/>
    </row>
    <row r="14" customFormat="false" ht="15" hidden="false" customHeight="true" outlineLevel="0" collapsed="false">
      <c r="A14" s="13" t="s">
        <v>22</v>
      </c>
      <c r="B14" s="13" t="s">
        <v>263</v>
      </c>
      <c r="C14" s="13" t="s">
        <v>249</v>
      </c>
      <c r="D14" s="13" t="s">
        <v>264</v>
      </c>
      <c r="E14" s="13"/>
      <c r="F14" s="14"/>
      <c r="G14" s="14"/>
      <c r="H14" s="14"/>
      <c r="I14" s="14"/>
    </row>
    <row r="15" customFormat="false" ht="15" hidden="false" customHeight="true" outlineLevel="0" collapsed="false">
      <c r="A15" s="13" t="s">
        <v>22</v>
      </c>
      <c r="B15" s="13" t="s">
        <v>263</v>
      </c>
      <c r="C15" s="13" t="s">
        <v>249</v>
      </c>
      <c r="D15" s="13" t="s">
        <v>265</v>
      </c>
      <c r="E15" s="13"/>
      <c r="F15" s="14"/>
      <c r="G15" s="14"/>
      <c r="H15" s="14"/>
      <c r="I15" s="14"/>
    </row>
    <row r="16" customFormat="false" ht="15" hidden="false" customHeight="true" outlineLevel="0" collapsed="false">
      <c r="A16" s="13" t="s">
        <v>22</v>
      </c>
      <c r="B16" s="13" t="s">
        <v>263</v>
      </c>
      <c r="C16" s="13" t="s">
        <v>253</v>
      </c>
      <c r="D16" s="13" t="s">
        <v>266</v>
      </c>
      <c r="E16" s="13"/>
      <c r="F16" s="14"/>
      <c r="G16" s="14"/>
      <c r="H16" s="14"/>
      <c r="I16" s="14"/>
    </row>
    <row r="17" customFormat="false" ht="15" hidden="false" customHeight="true" outlineLevel="0" collapsed="false">
      <c r="A17" s="13" t="s">
        <v>22</v>
      </c>
      <c r="B17" s="13" t="s">
        <v>263</v>
      </c>
      <c r="C17" s="13" t="s">
        <v>253</v>
      </c>
      <c r="D17" s="13" t="s">
        <v>267</v>
      </c>
      <c r="E17" s="13"/>
      <c r="F17" s="14"/>
      <c r="G17" s="14"/>
      <c r="H17" s="14"/>
      <c r="I17" s="14"/>
    </row>
    <row r="18" customFormat="false" ht="15" hidden="false" customHeight="true" outlineLevel="0" collapsed="false">
      <c r="A18" s="13" t="s">
        <v>22</v>
      </c>
      <c r="B18" s="13" t="s">
        <v>263</v>
      </c>
      <c r="C18" s="13" t="s">
        <v>253</v>
      </c>
      <c r="D18" s="13" t="s">
        <v>268</v>
      </c>
      <c r="E18" s="13"/>
      <c r="F18" s="14"/>
      <c r="G18" s="14"/>
      <c r="H18" s="14"/>
      <c r="I18" s="14"/>
    </row>
    <row r="19" customFormat="false" ht="15" hidden="false" customHeight="true" outlineLevel="0" collapsed="false">
      <c r="A19" s="13" t="s">
        <v>22</v>
      </c>
      <c r="B19" s="13" t="s">
        <v>269</v>
      </c>
      <c r="C19" s="13" t="s">
        <v>249</v>
      </c>
      <c r="D19" s="13" t="s">
        <v>270</v>
      </c>
      <c r="E19" s="13"/>
      <c r="F19" s="14"/>
      <c r="G19" s="14"/>
      <c r="H19" s="14"/>
      <c r="I19" s="14"/>
    </row>
    <row r="20" customFormat="false" ht="15" hidden="false" customHeight="true" outlineLevel="0" collapsed="false">
      <c r="A20" s="13" t="s">
        <v>22</v>
      </c>
      <c r="B20" s="13" t="s">
        <v>269</v>
      </c>
      <c r="C20" s="13" t="s">
        <v>253</v>
      </c>
      <c r="D20" s="13" t="s">
        <v>271</v>
      </c>
      <c r="E20" s="13"/>
      <c r="F20" s="14"/>
      <c r="G20" s="14"/>
      <c r="H20" s="14"/>
      <c r="I20" s="14"/>
    </row>
    <row r="21" customFormat="false" ht="15" hidden="false" customHeight="true" outlineLevel="0" collapsed="false">
      <c r="A21" s="13" t="s">
        <v>22</v>
      </c>
      <c r="B21" s="13" t="s">
        <v>269</v>
      </c>
      <c r="C21" s="13" t="s">
        <v>253</v>
      </c>
      <c r="D21" s="13" t="s">
        <v>272</v>
      </c>
      <c r="E21" s="13"/>
      <c r="F21" s="14"/>
      <c r="G21" s="14"/>
      <c r="H21" s="14"/>
      <c r="I21" s="14"/>
    </row>
    <row r="22" customFormat="false" ht="15" hidden="false" customHeight="true" outlineLevel="0" collapsed="false">
      <c r="A22" s="13" t="s">
        <v>22</v>
      </c>
      <c r="B22" s="13" t="s">
        <v>273</v>
      </c>
      <c r="C22" s="13" t="s">
        <v>249</v>
      </c>
      <c r="D22" s="13" t="s">
        <v>274</v>
      </c>
      <c r="E22" s="13"/>
      <c r="F22" s="14"/>
      <c r="G22" s="14"/>
      <c r="H22" s="14"/>
      <c r="I22" s="14"/>
    </row>
    <row r="23" customFormat="false" ht="15" hidden="false" customHeight="true" outlineLevel="0" collapsed="false">
      <c r="A23" s="13" t="s">
        <v>22</v>
      </c>
      <c r="B23" s="13" t="s">
        <v>273</v>
      </c>
      <c r="C23" s="13" t="s">
        <v>249</v>
      </c>
      <c r="D23" s="13" t="s">
        <v>270</v>
      </c>
      <c r="E23" s="13"/>
      <c r="F23" s="14"/>
      <c r="G23" s="14"/>
      <c r="H23" s="14"/>
      <c r="I23" s="14"/>
    </row>
    <row r="24" customFormat="false" ht="15" hidden="false" customHeight="true" outlineLevel="0" collapsed="false">
      <c r="A24" s="13" t="s">
        <v>22</v>
      </c>
      <c r="B24" s="13" t="s">
        <v>273</v>
      </c>
      <c r="C24" s="13" t="s">
        <v>253</v>
      </c>
      <c r="D24" s="13" t="s">
        <v>275</v>
      </c>
      <c r="E24" s="13"/>
      <c r="F24" s="14"/>
      <c r="G24" s="14"/>
      <c r="H24" s="14"/>
      <c r="I24" s="14"/>
    </row>
    <row r="25" customFormat="false" ht="15" hidden="false" customHeight="true" outlineLevel="0" collapsed="false">
      <c r="A25" s="13" t="s">
        <v>22</v>
      </c>
      <c r="B25" s="13" t="s">
        <v>273</v>
      </c>
      <c r="C25" s="13" t="s">
        <v>253</v>
      </c>
      <c r="D25" s="13" t="s">
        <v>276</v>
      </c>
      <c r="E25" s="13"/>
      <c r="F25" s="14"/>
      <c r="G25" s="14"/>
      <c r="H25" s="14"/>
      <c r="I25" s="14"/>
    </row>
    <row r="26" customFormat="false" ht="15" hidden="false" customHeight="true" outlineLevel="0" collapsed="false">
      <c r="A26" s="13" t="s">
        <v>22</v>
      </c>
      <c r="B26" s="13" t="s">
        <v>277</v>
      </c>
      <c r="C26" s="13" t="s">
        <v>249</v>
      </c>
      <c r="D26" s="13" t="s">
        <v>278</v>
      </c>
      <c r="E26" s="13"/>
      <c r="F26" s="14"/>
      <c r="G26" s="14"/>
      <c r="H26" s="14"/>
      <c r="I26" s="14"/>
    </row>
    <row r="27" customFormat="false" ht="15" hidden="false" customHeight="true" outlineLevel="0" collapsed="false">
      <c r="A27" s="13" t="s">
        <v>22</v>
      </c>
      <c r="B27" s="13" t="s">
        <v>277</v>
      </c>
      <c r="C27" s="13" t="s">
        <v>249</v>
      </c>
      <c r="D27" s="13" t="s">
        <v>270</v>
      </c>
      <c r="E27" s="13"/>
      <c r="F27" s="14"/>
      <c r="G27" s="14"/>
      <c r="H27" s="14"/>
      <c r="I27" s="14"/>
    </row>
    <row r="28" customFormat="false" ht="15" hidden="false" customHeight="true" outlineLevel="0" collapsed="false">
      <c r="A28" s="13" t="s">
        <v>22</v>
      </c>
      <c r="B28" s="13" t="s">
        <v>277</v>
      </c>
      <c r="C28" s="13" t="s">
        <v>249</v>
      </c>
      <c r="D28" s="13" t="s">
        <v>279</v>
      </c>
      <c r="E28" s="13"/>
      <c r="F28" s="14"/>
      <c r="G28" s="14"/>
      <c r="H28" s="14"/>
      <c r="I28" s="14"/>
    </row>
    <row r="29" customFormat="false" ht="15" hidden="false" customHeight="true" outlineLevel="0" collapsed="false">
      <c r="A29" s="13" t="s">
        <v>22</v>
      </c>
      <c r="B29" s="13" t="s">
        <v>277</v>
      </c>
      <c r="C29" s="13" t="s">
        <v>249</v>
      </c>
      <c r="D29" s="13" t="s">
        <v>280</v>
      </c>
      <c r="E29" s="13"/>
      <c r="F29" s="14"/>
      <c r="G29" s="14"/>
      <c r="H29" s="14"/>
      <c r="I29" s="14"/>
    </row>
    <row r="30" customFormat="false" ht="15" hidden="false" customHeight="true" outlineLevel="0" collapsed="false">
      <c r="A30" s="13" t="s">
        <v>22</v>
      </c>
      <c r="B30" s="13" t="s">
        <v>277</v>
      </c>
      <c r="C30" s="13" t="s">
        <v>253</v>
      </c>
      <c r="D30" s="13" t="s">
        <v>281</v>
      </c>
      <c r="E30" s="13"/>
      <c r="F30" s="14"/>
      <c r="G30" s="14"/>
      <c r="H30" s="14"/>
      <c r="I30" s="14"/>
    </row>
    <row r="31" customFormat="false" ht="15" hidden="false" customHeight="true" outlineLevel="0" collapsed="false">
      <c r="A31" s="13" t="s">
        <v>22</v>
      </c>
      <c r="B31" s="13" t="s">
        <v>277</v>
      </c>
      <c r="C31" s="13" t="s">
        <v>253</v>
      </c>
      <c r="D31" s="13" t="s">
        <v>282</v>
      </c>
      <c r="E31" s="13"/>
      <c r="F31" s="14"/>
      <c r="G31" s="14"/>
      <c r="H31" s="14"/>
      <c r="I31" s="14"/>
    </row>
    <row r="32" customFormat="false" ht="15" hidden="false" customHeight="true" outlineLevel="0" collapsed="false">
      <c r="A32" s="13" t="s">
        <v>22</v>
      </c>
      <c r="B32" s="13" t="s">
        <v>277</v>
      </c>
      <c r="C32" s="13" t="s">
        <v>253</v>
      </c>
      <c r="D32" s="13" t="s">
        <v>283</v>
      </c>
      <c r="E32" s="13"/>
      <c r="F32" s="14"/>
      <c r="G32" s="14"/>
      <c r="H32" s="14"/>
      <c r="I32" s="14"/>
    </row>
    <row r="33" customFormat="false" ht="15" hidden="false" customHeight="true" outlineLevel="0" collapsed="false">
      <c r="A33" s="13" t="s">
        <v>22</v>
      </c>
      <c r="B33" s="13" t="s">
        <v>277</v>
      </c>
      <c r="C33" s="13" t="s">
        <v>253</v>
      </c>
      <c r="D33" s="13" t="s">
        <v>284</v>
      </c>
      <c r="E33" s="13"/>
      <c r="F33" s="14"/>
      <c r="G33" s="14"/>
      <c r="H33" s="14"/>
      <c r="I33" s="14"/>
    </row>
    <row r="34" customFormat="false" ht="15" hidden="false" customHeight="true" outlineLevel="0" collapsed="false">
      <c r="A34" s="13" t="s">
        <v>22</v>
      </c>
      <c r="B34" s="13" t="s">
        <v>285</v>
      </c>
      <c r="C34" s="13" t="s">
        <v>249</v>
      </c>
      <c r="D34" s="13" t="s">
        <v>286</v>
      </c>
      <c r="E34" s="13"/>
      <c r="F34" s="14"/>
      <c r="G34" s="14"/>
      <c r="H34" s="14"/>
      <c r="I34" s="14"/>
    </row>
    <row r="35" customFormat="false" ht="15" hidden="false" customHeight="true" outlineLevel="0" collapsed="false">
      <c r="A35" s="13" t="s">
        <v>22</v>
      </c>
      <c r="B35" s="13" t="s">
        <v>285</v>
      </c>
      <c r="C35" s="13" t="s">
        <v>249</v>
      </c>
      <c r="D35" s="13" t="s">
        <v>287</v>
      </c>
      <c r="E35" s="13"/>
      <c r="F35" s="14"/>
      <c r="G35" s="14"/>
      <c r="H35" s="14"/>
      <c r="I35" s="14"/>
    </row>
    <row r="36" customFormat="false" ht="15" hidden="false" customHeight="true" outlineLevel="0" collapsed="false">
      <c r="A36" s="13" t="s">
        <v>22</v>
      </c>
      <c r="B36" s="13" t="s">
        <v>285</v>
      </c>
      <c r="C36" s="13" t="s">
        <v>253</v>
      </c>
      <c r="D36" s="13" t="s">
        <v>288</v>
      </c>
      <c r="E36" s="13" t="s">
        <v>13</v>
      </c>
      <c r="F36" s="14"/>
      <c r="G36" s="14"/>
      <c r="H36" s="14"/>
      <c r="I36" s="14"/>
    </row>
    <row r="37" customFormat="false" ht="15" hidden="false" customHeight="true" outlineLevel="0" collapsed="false">
      <c r="A37" s="13" t="s">
        <v>22</v>
      </c>
      <c r="B37" s="13" t="s">
        <v>289</v>
      </c>
      <c r="C37" s="13" t="s">
        <v>249</v>
      </c>
      <c r="D37" s="13" t="s">
        <v>290</v>
      </c>
      <c r="E37" s="13"/>
      <c r="F37" s="14"/>
      <c r="G37" s="14"/>
      <c r="H37" s="14"/>
      <c r="I37" s="14"/>
    </row>
    <row r="38" customFormat="false" ht="15" hidden="false" customHeight="true" outlineLevel="0" collapsed="false">
      <c r="A38" s="13" t="s">
        <v>22</v>
      </c>
      <c r="B38" s="13" t="s">
        <v>289</v>
      </c>
      <c r="C38" s="13" t="s">
        <v>249</v>
      </c>
      <c r="D38" s="13" t="s">
        <v>291</v>
      </c>
      <c r="E38" s="13"/>
      <c r="F38" s="14"/>
      <c r="G38" s="14"/>
      <c r="H38" s="14"/>
      <c r="I38" s="14"/>
    </row>
    <row r="39" customFormat="false" ht="15" hidden="false" customHeight="true" outlineLevel="0" collapsed="false">
      <c r="A39" s="13" t="s">
        <v>22</v>
      </c>
      <c r="B39" s="13" t="s">
        <v>289</v>
      </c>
      <c r="C39" s="13" t="s">
        <v>253</v>
      </c>
      <c r="D39" s="13" t="s">
        <v>292</v>
      </c>
      <c r="E39" s="13" t="s">
        <v>13</v>
      </c>
      <c r="F39" s="14"/>
      <c r="G39" s="14"/>
      <c r="H39" s="14"/>
      <c r="I39" s="14"/>
    </row>
    <row r="40" customFormat="false" ht="15" hidden="false" customHeight="true" outlineLevel="0" collapsed="false">
      <c r="A40" s="13" t="s">
        <v>23</v>
      </c>
      <c r="B40" s="13" t="s">
        <v>293</v>
      </c>
      <c r="C40" s="13" t="s">
        <v>249</v>
      </c>
      <c r="D40" s="13" t="s">
        <v>294</v>
      </c>
      <c r="E40" s="13"/>
      <c r="F40" s="14"/>
      <c r="G40" s="14"/>
      <c r="H40" s="14"/>
      <c r="I40" s="14"/>
    </row>
    <row r="41" customFormat="false" ht="15" hidden="false" customHeight="true" outlineLevel="0" collapsed="false">
      <c r="A41" s="13" t="s">
        <v>23</v>
      </c>
      <c r="B41" s="13" t="s">
        <v>293</v>
      </c>
      <c r="C41" s="13" t="s">
        <v>249</v>
      </c>
      <c r="D41" s="13" t="s">
        <v>295</v>
      </c>
      <c r="E41" s="13"/>
      <c r="F41" s="14"/>
      <c r="G41" s="14"/>
      <c r="H41" s="14"/>
      <c r="I41" s="14"/>
    </row>
    <row r="42" customFormat="false" ht="15" hidden="false" customHeight="true" outlineLevel="0" collapsed="false">
      <c r="A42" s="13" t="s">
        <v>23</v>
      </c>
      <c r="B42" s="13" t="s">
        <v>293</v>
      </c>
      <c r="C42" s="13" t="s">
        <v>249</v>
      </c>
      <c r="D42" s="13" t="s">
        <v>296</v>
      </c>
      <c r="E42" s="13"/>
      <c r="F42" s="14"/>
      <c r="G42" s="14"/>
      <c r="H42" s="14"/>
      <c r="I42" s="14"/>
    </row>
    <row r="43" customFormat="false" ht="15" hidden="false" customHeight="true" outlineLevel="0" collapsed="false">
      <c r="A43" s="13" t="s">
        <v>23</v>
      </c>
      <c r="B43" s="13" t="s">
        <v>293</v>
      </c>
      <c r="C43" s="13" t="s">
        <v>249</v>
      </c>
      <c r="D43" s="13" t="s">
        <v>297</v>
      </c>
      <c r="E43" s="13"/>
      <c r="F43" s="14"/>
      <c r="G43" s="14"/>
      <c r="H43" s="14"/>
      <c r="I43" s="14"/>
    </row>
    <row r="44" customFormat="false" ht="15" hidden="false" customHeight="true" outlineLevel="0" collapsed="false">
      <c r="A44" s="13" t="s">
        <v>23</v>
      </c>
      <c r="B44" s="13" t="s">
        <v>293</v>
      </c>
      <c r="C44" s="13" t="s">
        <v>253</v>
      </c>
      <c r="D44" s="13" t="s">
        <v>298</v>
      </c>
      <c r="E44" s="13"/>
      <c r="F44" s="14"/>
      <c r="G44" s="14"/>
      <c r="H44" s="14"/>
      <c r="I44" s="14"/>
    </row>
    <row r="45" customFormat="false" ht="15" hidden="false" customHeight="true" outlineLevel="0" collapsed="false">
      <c r="A45" s="13" t="s">
        <v>23</v>
      </c>
      <c r="B45" s="13" t="s">
        <v>299</v>
      </c>
      <c r="C45" s="13" t="s">
        <v>249</v>
      </c>
      <c r="D45" s="13" t="s">
        <v>300</v>
      </c>
      <c r="E45" s="13"/>
      <c r="F45" s="14"/>
      <c r="G45" s="14"/>
      <c r="H45" s="14"/>
      <c r="I45" s="14"/>
    </row>
    <row r="46" customFormat="false" ht="15" hidden="false" customHeight="true" outlineLevel="0" collapsed="false">
      <c r="A46" s="13" t="s">
        <v>23</v>
      </c>
      <c r="B46" s="13" t="s">
        <v>299</v>
      </c>
      <c r="C46" s="13" t="s">
        <v>253</v>
      </c>
      <c r="D46" s="13" t="s">
        <v>301</v>
      </c>
      <c r="E46" s="13"/>
      <c r="F46" s="14"/>
      <c r="G46" s="14"/>
      <c r="H46" s="14"/>
      <c r="I46" s="14"/>
    </row>
    <row r="47" customFormat="false" ht="15" hidden="false" customHeight="true" outlineLevel="0" collapsed="false">
      <c r="A47" s="13" t="s">
        <v>23</v>
      </c>
      <c r="B47" s="13" t="s">
        <v>302</v>
      </c>
      <c r="C47" s="13" t="s">
        <v>249</v>
      </c>
      <c r="D47" s="13" t="s">
        <v>303</v>
      </c>
      <c r="E47" s="13"/>
      <c r="F47" s="14"/>
      <c r="G47" s="14"/>
      <c r="H47" s="14"/>
      <c r="I47" s="14"/>
    </row>
    <row r="48" customFormat="false" ht="15" hidden="false" customHeight="true" outlineLevel="0" collapsed="false">
      <c r="A48" s="13" t="s">
        <v>23</v>
      </c>
      <c r="B48" s="13" t="s">
        <v>302</v>
      </c>
      <c r="C48" s="13" t="s">
        <v>253</v>
      </c>
      <c r="D48" s="13" t="s">
        <v>304</v>
      </c>
      <c r="E48" s="13"/>
      <c r="F48" s="14"/>
      <c r="G48" s="14"/>
      <c r="H48" s="14"/>
      <c r="I48" s="14"/>
    </row>
    <row r="49" customFormat="false" ht="15" hidden="false" customHeight="true" outlineLevel="0" collapsed="false">
      <c r="A49" s="13" t="s">
        <v>23</v>
      </c>
      <c r="B49" s="13" t="s">
        <v>305</v>
      </c>
      <c r="C49" s="13" t="s">
        <v>249</v>
      </c>
      <c r="D49" s="13" t="s">
        <v>306</v>
      </c>
      <c r="E49" s="13"/>
      <c r="F49" s="14"/>
      <c r="G49" s="14"/>
      <c r="H49" s="14"/>
      <c r="I49" s="14"/>
    </row>
    <row r="50" customFormat="false" ht="15" hidden="false" customHeight="true" outlineLevel="0" collapsed="false">
      <c r="A50" s="13" t="s">
        <v>23</v>
      </c>
      <c r="B50" s="13" t="s">
        <v>305</v>
      </c>
      <c r="C50" s="13" t="s">
        <v>249</v>
      </c>
      <c r="D50" s="13" t="s">
        <v>307</v>
      </c>
      <c r="E50" s="13"/>
      <c r="F50" s="14"/>
      <c r="G50" s="14"/>
      <c r="H50" s="14"/>
      <c r="I50" s="14"/>
    </row>
    <row r="51" customFormat="false" ht="15" hidden="false" customHeight="true" outlineLevel="0" collapsed="false">
      <c r="A51" s="13" t="s">
        <v>23</v>
      </c>
      <c r="B51" s="13" t="s">
        <v>305</v>
      </c>
      <c r="C51" s="13" t="s">
        <v>249</v>
      </c>
      <c r="D51" s="13" t="s">
        <v>308</v>
      </c>
      <c r="E51" s="13"/>
      <c r="F51" s="14"/>
      <c r="G51" s="14"/>
      <c r="H51" s="14"/>
      <c r="I51" s="14"/>
    </row>
    <row r="52" customFormat="false" ht="15" hidden="false" customHeight="true" outlineLevel="0" collapsed="false">
      <c r="A52" s="13" t="s">
        <v>23</v>
      </c>
      <c r="B52" s="13" t="s">
        <v>305</v>
      </c>
      <c r="C52" s="13" t="s">
        <v>249</v>
      </c>
      <c r="D52" s="13" t="s">
        <v>309</v>
      </c>
      <c r="E52" s="13"/>
      <c r="F52" s="14"/>
      <c r="G52" s="14"/>
      <c r="H52" s="14"/>
      <c r="I52" s="14"/>
    </row>
    <row r="53" customFormat="false" ht="15" hidden="false" customHeight="true" outlineLevel="0" collapsed="false">
      <c r="A53" s="13" t="s">
        <v>23</v>
      </c>
      <c r="B53" s="13" t="s">
        <v>305</v>
      </c>
      <c r="C53" s="13" t="s">
        <v>253</v>
      </c>
      <c r="D53" s="13" t="s">
        <v>310</v>
      </c>
      <c r="E53" s="13"/>
      <c r="F53" s="14"/>
      <c r="G53" s="14"/>
      <c r="H53" s="14"/>
      <c r="I53" s="14"/>
    </row>
    <row r="54" customFormat="false" ht="15" hidden="false" customHeight="true" outlineLevel="0" collapsed="false">
      <c r="A54" s="13" t="s">
        <v>23</v>
      </c>
      <c r="B54" s="13" t="s">
        <v>305</v>
      </c>
      <c r="C54" s="13" t="s">
        <v>253</v>
      </c>
      <c r="D54" s="13" t="s">
        <v>311</v>
      </c>
      <c r="E54" s="13"/>
      <c r="F54" s="14"/>
      <c r="G54" s="14"/>
      <c r="H54" s="14"/>
      <c r="I54" s="14"/>
    </row>
    <row r="55" customFormat="false" ht="15" hidden="false" customHeight="true" outlineLevel="0" collapsed="false">
      <c r="A55" s="13" t="s">
        <v>23</v>
      </c>
      <c r="B55" s="13" t="s">
        <v>312</v>
      </c>
      <c r="C55" s="13" t="s">
        <v>249</v>
      </c>
      <c r="D55" s="13" t="s">
        <v>313</v>
      </c>
      <c r="E55" s="13"/>
      <c r="F55" s="14"/>
      <c r="G55" s="14"/>
      <c r="H55" s="14"/>
      <c r="I55" s="14"/>
    </row>
    <row r="56" customFormat="false" ht="15" hidden="false" customHeight="true" outlineLevel="0" collapsed="false">
      <c r="A56" s="13" t="s">
        <v>23</v>
      </c>
      <c r="B56" s="13" t="s">
        <v>312</v>
      </c>
      <c r="C56" s="13" t="s">
        <v>249</v>
      </c>
      <c r="D56" s="13" t="s">
        <v>314</v>
      </c>
      <c r="E56" s="13"/>
      <c r="F56" s="14"/>
      <c r="G56" s="14"/>
      <c r="H56" s="14"/>
      <c r="I56" s="14"/>
    </row>
    <row r="57" customFormat="false" ht="15" hidden="false" customHeight="true" outlineLevel="0" collapsed="false">
      <c r="A57" s="13" t="s">
        <v>23</v>
      </c>
      <c r="B57" s="13" t="s">
        <v>312</v>
      </c>
      <c r="C57" s="13" t="s">
        <v>253</v>
      </c>
      <c r="D57" s="13" t="s">
        <v>315</v>
      </c>
      <c r="E57" s="13"/>
      <c r="F57" s="14"/>
      <c r="G57" s="14"/>
      <c r="H57" s="14"/>
      <c r="I57" s="14"/>
    </row>
    <row r="58" customFormat="false" ht="15" hidden="false" customHeight="true" outlineLevel="0" collapsed="false">
      <c r="A58" s="13" t="s">
        <v>23</v>
      </c>
      <c r="B58" s="13" t="s">
        <v>312</v>
      </c>
      <c r="C58" s="13" t="s">
        <v>253</v>
      </c>
      <c r="D58" s="13" t="s">
        <v>316</v>
      </c>
      <c r="E58" s="13"/>
      <c r="F58" s="14"/>
      <c r="G58" s="14"/>
      <c r="H58" s="14"/>
      <c r="I58" s="14"/>
    </row>
    <row r="59" customFormat="false" ht="15" hidden="false" customHeight="true" outlineLevel="0" collapsed="false">
      <c r="A59" s="13" t="s">
        <v>23</v>
      </c>
      <c r="B59" s="13" t="s">
        <v>312</v>
      </c>
      <c r="C59" s="13" t="s">
        <v>253</v>
      </c>
      <c r="D59" s="13" t="s">
        <v>317</v>
      </c>
      <c r="E59" s="13" t="s">
        <v>13</v>
      </c>
      <c r="F59" s="14"/>
      <c r="G59" s="14"/>
      <c r="H59" s="14"/>
      <c r="I59" s="14"/>
    </row>
    <row r="60" customFormat="false" ht="15" hidden="false" customHeight="true" outlineLevel="0" collapsed="false">
      <c r="A60" s="13" t="s">
        <v>23</v>
      </c>
      <c r="B60" s="13" t="s">
        <v>312</v>
      </c>
      <c r="C60" s="13" t="s">
        <v>253</v>
      </c>
      <c r="D60" s="13" t="s">
        <v>318</v>
      </c>
      <c r="E60" s="13"/>
      <c r="F60" s="14"/>
      <c r="G60" s="14"/>
      <c r="H60" s="14"/>
      <c r="I60" s="14"/>
    </row>
    <row r="61" customFormat="false" ht="15" hidden="false" customHeight="true" outlineLevel="0" collapsed="false">
      <c r="A61" s="13" t="s">
        <v>23</v>
      </c>
      <c r="B61" s="13" t="s">
        <v>319</v>
      </c>
      <c r="C61" s="13" t="s">
        <v>249</v>
      </c>
      <c r="D61" s="13" t="s">
        <v>320</v>
      </c>
      <c r="E61" s="13"/>
      <c r="F61" s="14"/>
      <c r="G61" s="14"/>
      <c r="H61" s="14"/>
      <c r="I61" s="14"/>
    </row>
    <row r="62" customFormat="false" ht="15" hidden="false" customHeight="true" outlineLevel="0" collapsed="false">
      <c r="A62" s="13" t="s">
        <v>23</v>
      </c>
      <c r="B62" s="13" t="s">
        <v>319</v>
      </c>
      <c r="C62" s="13" t="s">
        <v>249</v>
      </c>
      <c r="D62" s="13" t="s">
        <v>296</v>
      </c>
      <c r="E62" s="13"/>
      <c r="F62" s="14"/>
      <c r="G62" s="14"/>
      <c r="H62" s="14"/>
      <c r="I62" s="14"/>
    </row>
    <row r="63" customFormat="false" ht="15" hidden="false" customHeight="true" outlineLevel="0" collapsed="false">
      <c r="A63" s="13" t="s">
        <v>23</v>
      </c>
      <c r="B63" s="13" t="s">
        <v>319</v>
      </c>
      <c r="C63" s="13" t="s">
        <v>249</v>
      </c>
      <c r="D63" s="13" t="s">
        <v>321</v>
      </c>
      <c r="E63" s="13"/>
      <c r="F63" s="14"/>
      <c r="G63" s="14"/>
      <c r="H63" s="14"/>
      <c r="I63" s="14"/>
    </row>
    <row r="64" customFormat="false" ht="15" hidden="false" customHeight="true" outlineLevel="0" collapsed="false">
      <c r="A64" s="13" t="s">
        <v>23</v>
      </c>
      <c r="B64" s="13" t="s">
        <v>319</v>
      </c>
      <c r="C64" s="13" t="s">
        <v>253</v>
      </c>
      <c r="D64" s="13" t="s">
        <v>322</v>
      </c>
      <c r="E64" s="13" t="s">
        <v>13</v>
      </c>
      <c r="F64" s="14"/>
      <c r="G64" s="14"/>
      <c r="H64" s="14"/>
      <c r="I64" s="14"/>
    </row>
    <row r="65" customFormat="false" ht="15" hidden="false" customHeight="true" outlineLevel="0" collapsed="false">
      <c r="A65" s="13" t="s">
        <v>23</v>
      </c>
      <c r="B65" s="13" t="s">
        <v>319</v>
      </c>
      <c r="C65" s="13" t="s">
        <v>253</v>
      </c>
      <c r="D65" s="13" t="s">
        <v>323</v>
      </c>
      <c r="E65" s="13"/>
      <c r="F65" s="14"/>
      <c r="G65" s="14"/>
      <c r="H65" s="14"/>
      <c r="I65" s="14"/>
    </row>
    <row r="66" customFormat="false" ht="15" hidden="false" customHeight="true" outlineLevel="0" collapsed="false">
      <c r="A66" s="13" t="s">
        <v>23</v>
      </c>
      <c r="B66" s="13" t="s">
        <v>324</v>
      </c>
      <c r="C66" s="13" t="s">
        <v>249</v>
      </c>
      <c r="D66" s="13" t="s">
        <v>325</v>
      </c>
      <c r="E66" s="13"/>
      <c r="F66" s="14"/>
      <c r="G66" s="14"/>
      <c r="H66" s="14"/>
      <c r="I66" s="14"/>
    </row>
    <row r="67" customFormat="false" ht="15" hidden="false" customHeight="true" outlineLevel="0" collapsed="false">
      <c r="A67" s="13" t="s">
        <v>23</v>
      </c>
      <c r="B67" s="13" t="s">
        <v>324</v>
      </c>
      <c r="C67" s="13" t="s">
        <v>253</v>
      </c>
      <c r="D67" s="13" t="s">
        <v>326</v>
      </c>
      <c r="E67" s="13"/>
      <c r="F67" s="14"/>
      <c r="G67" s="14"/>
      <c r="H67" s="14"/>
      <c r="I67" s="14"/>
    </row>
    <row r="68" customFormat="false" ht="15" hidden="false" customHeight="true" outlineLevel="0" collapsed="false">
      <c r="A68" s="13" t="s">
        <v>23</v>
      </c>
      <c r="B68" s="13" t="s">
        <v>324</v>
      </c>
      <c r="C68" s="13" t="s">
        <v>253</v>
      </c>
      <c r="D68" s="13" t="s">
        <v>327</v>
      </c>
      <c r="E68" s="13"/>
      <c r="F68" s="14"/>
      <c r="G68" s="14"/>
      <c r="H68" s="14"/>
      <c r="I68" s="14"/>
    </row>
    <row r="69" customFormat="false" ht="15" hidden="false" customHeight="true" outlineLevel="0" collapsed="false">
      <c r="A69" s="13" t="s">
        <v>23</v>
      </c>
      <c r="B69" s="13" t="s">
        <v>328</v>
      </c>
      <c r="C69" s="13" t="s">
        <v>249</v>
      </c>
      <c r="D69" s="13" t="s">
        <v>329</v>
      </c>
      <c r="E69" s="13"/>
      <c r="F69" s="14"/>
      <c r="G69" s="14"/>
      <c r="H69" s="14"/>
      <c r="I69" s="14"/>
    </row>
    <row r="70" customFormat="false" ht="15" hidden="false" customHeight="true" outlineLevel="0" collapsed="false">
      <c r="A70" s="13" t="s">
        <v>23</v>
      </c>
      <c r="B70" s="13" t="s">
        <v>328</v>
      </c>
      <c r="C70" s="13" t="s">
        <v>249</v>
      </c>
      <c r="D70" s="13" t="s">
        <v>296</v>
      </c>
      <c r="E70" s="13"/>
      <c r="F70" s="14"/>
      <c r="G70" s="14"/>
      <c r="H70" s="14"/>
      <c r="I70" s="14"/>
    </row>
    <row r="71" customFormat="false" ht="15" hidden="false" customHeight="true" outlineLevel="0" collapsed="false">
      <c r="A71" s="13" t="s">
        <v>23</v>
      </c>
      <c r="B71" s="13" t="s">
        <v>328</v>
      </c>
      <c r="C71" s="13" t="s">
        <v>249</v>
      </c>
      <c r="D71" s="13" t="s">
        <v>251</v>
      </c>
      <c r="E71" s="13"/>
      <c r="F71" s="14"/>
      <c r="G71" s="14"/>
      <c r="H71" s="14"/>
      <c r="I71" s="14"/>
    </row>
    <row r="72" customFormat="false" ht="15" hidden="false" customHeight="true" outlineLevel="0" collapsed="false">
      <c r="A72" s="13" t="s">
        <v>23</v>
      </c>
      <c r="B72" s="13" t="s">
        <v>328</v>
      </c>
      <c r="C72" s="13" t="s">
        <v>253</v>
      </c>
      <c r="D72" s="13" t="s">
        <v>330</v>
      </c>
      <c r="E72" s="13" t="s">
        <v>13</v>
      </c>
      <c r="F72" s="14"/>
      <c r="G72" s="14"/>
      <c r="H72" s="14"/>
      <c r="I72" s="14"/>
    </row>
    <row r="73" customFormat="false" ht="15" hidden="false" customHeight="true" outlineLevel="0" collapsed="false">
      <c r="A73" s="13" t="s">
        <v>23</v>
      </c>
      <c r="B73" s="13" t="s">
        <v>285</v>
      </c>
      <c r="C73" s="13" t="s">
        <v>249</v>
      </c>
      <c r="D73" s="13" t="s">
        <v>286</v>
      </c>
      <c r="E73" s="13"/>
      <c r="F73" s="14"/>
      <c r="G73" s="14"/>
      <c r="H73" s="14"/>
      <c r="I73" s="14"/>
    </row>
    <row r="74" customFormat="false" ht="15" hidden="false" customHeight="true" outlineLevel="0" collapsed="false">
      <c r="A74" s="13" t="s">
        <v>23</v>
      </c>
      <c r="B74" s="13" t="s">
        <v>285</v>
      </c>
      <c r="C74" s="13" t="s">
        <v>249</v>
      </c>
      <c r="D74" s="13" t="s">
        <v>287</v>
      </c>
      <c r="E74" s="13"/>
      <c r="F74" s="14"/>
      <c r="G74" s="14"/>
      <c r="H74" s="14"/>
      <c r="I74" s="14"/>
    </row>
    <row r="75" customFormat="false" ht="15" hidden="false" customHeight="true" outlineLevel="0" collapsed="false">
      <c r="A75" s="13" t="s">
        <v>23</v>
      </c>
      <c r="B75" s="13" t="s">
        <v>285</v>
      </c>
      <c r="C75" s="13" t="s">
        <v>253</v>
      </c>
      <c r="D75" s="13" t="s">
        <v>288</v>
      </c>
      <c r="E75" s="13" t="s">
        <v>13</v>
      </c>
      <c r="F75" s="14"/>
      <c r="G75" s="14"/>
      <c r="H75" s="14"/>
      <c r="I75" s="14"/>
    </row>
    <row r="76" customFormat="false" ht="15" hidden="false" customHeight="true" outlineLevel="0" collapsed="false">
      <c r="A76" s="13" t="s">
        <v>23</v>
      </c>
      <c r="B76" s="13" t="s">
        <v>289</v>
      </c>
      <c r="C76" s="13" t="s">
        <v>249</v>
      </c>
      <c r="D76" s="13" t="s">
        <v>290</v>
      </c>
      <c r="E76" s="13"/>
      <c r="F76" s="14"/>
      <c r="G76" s="14"/>
      <c r="H76" s="14"/>
      <c r="I76" s="14"/>
    </row>
    <row r="77" customFormat="false" ht="15" hidden="false" customHeight="true" outlineLevel="0" collapsed="false">
      <c r="A77" s="13" t="s">
        <v>23</v>
      </c>
      <c r="B77" s="13" t="s">
        <v>289</v>
      </c>
      <c r="C77" s="13" t="s">
        <v>249</v>
      </c>
      <c r="D77" s="13" t="s">
        <v>291</v>
      </c>
      <c r="E77" s="13"/>
      <c r="F77" s="14"/>
      <c r="G77" s="14"/>
      <c r="H77" s="14"/>
      <c r="I77" s="14"/>
    </row>
    <row r="78" customFormat="false" ht="15" hidden="false" customHeight="true" outlineLevel="0" collapsed="false">
      <c r="A78" s="13" t="s">
        <v>23</v>
      </c>
      <c r="B78" s="13" t="s">
        <v>289</v>
      </c>
      <c r="C78" s="13" t="s">
        <v>253</v>
      </c>
      <c r="D78" s="13" t="s">
        <v>292</v>
      </c>
      <c r="E78" s="13" t="s">
        <v>13</v>
      </c>
      <c r="F78" s="14"/>
      <c r="G78" s="14"/>
      <c r="H78" s="14"/>
      <c r="I78" s="14"/>
    </row>
    <row r="79" customFormat="false" ht="15" hidden="false" customHeight="true" outlineLevel="0" collapsed="false">
      <c r="A79" s="13" t="s">
        <v>24</v>
      </c>
      <c r="B79" s="13" t="s">
        <v>331</v>
      </c>
      <c r="C79" s="13" t="s">
        <v>249</v>
      </c>
      <c r="D79" s="13" t="s">
        <v>332</v>
      </c>
      <c r="E79" s="13"/>
      <c r="F79" s="14"/>
      <c r="G79" s="14"/>
      <c r="H79" s="14"/>
      <c r="I79" s="14"/>
    </row>
    <row r="80" customFormat="false" ht="27" hidden="false" customHeight="true" outlineLevel="0" collapsed="false">
      <c r="A80" s="13" t="s">
        <v>24</v>
      </c>
      <c r="B80" s="13" t="s">
        <v>331</v>
      </c>
      <c r="C80" s="13" t="s">
        <v>249</v>
      </c>
      <c r="D80" s="13" t="s">
        <v>333</v>
      </c>
      <c r="E80" s="13"/>
      <c r="F80" s="14"/>
      <c r="G80" s="14"/>
      <c r="H80" s="14"/>
      <c r="I80" s="14"/>
    </row>
    <row r="81" customFormat="false" ht="15" hidden="false" customHeight="true" outlineLevel="0" collapsed="false">
      <c r="A81" s="13" t="s">
        <v>24</v>
      </c>
      <c r="B81" s="13" t="s">
        <v>331</v>
      </c>
      <c r="C81" s="13" t="s">
        <v>253</v>
      </c>
      <c r="D81" s="13" t="s">
        <v>334</v>
      </c>
      <c r="E81" s="13"/>
      <c r="F81" s="14"/>
      <c r="G81" s="14"/>
      <c r="H81" s="14"/>
      <c r="I81" s="14"/>
    </row>
    <row r="82" customFormat="false" ht="15" hidden="false" customHeight="true" outlineLevel="0" collapsed="false">
      <c r="A82" s="13" t="s">
        <v>24</v>
      </c>
      <c r="B82" s="13" t="s">
        <v>331</v>
      </c>
      <c r="C82" s="13" t="s">
        <v>253</v>
      </c>
      <c r="D82" s="13" t="s">
        <v>335</v>
      </c>
      <c r="E82" s="13"/>
      <c r="F82" s="14"/>
      <c r="G82" s="14"/>
      <c r="H82" s="14"/>
      <c r="I82" s="14"/>
    </row>
    <row r="83" customFormat="false" ht="15" hidden="false" customHeight="true" outlineLevel="0" collapsed="false">
      <c r="A83" s="13" t="s">
        <v>24</v>
      </c>
      <c r="B83" s="13" t="s">
        <v>336</v>
      </c>
      <c r="C83" s="13" t="s">
        <v>249</v>
      </c>
      <c r="D83" s="13" t="s">
        <v>337</v>
      </c>
      <c r="E83" s="13"/>
      <c r="F83" s="14"/>
      <c r="G83" s="14"/>
      <c r="H83" s="14"/>
      <c r="I83" s="14"/>
    </row>
    <row r="84" customFormat="false" ht="15" hidden="false" customHeight="true" outlineLevel="0" collapsed="false">
      <c r="A84" s="13" t="s">
        <v>24</v>
      </c>
      <c r="B84" s="13" t="s">
        <v>336</v>
      </c>
      <c r="C84" s="13" t="s">
        <v>249</v>
      </c>
      <c r="D84" s="13" t="s">
        <v>338</v>
      </c>
      <c r="E84" s="13"/>
      <c r="F84" s="14"/>
      <c r="G84" s="14"/>
      <c r="H84" s="14"/>
      <c r="I84" s="14"/>
    </row>
    <row r="85" customFormat="false" ht="15" hidden="false" customHeight="true" outlineLevel="0" collapsed="false">
      <c r="A85" s="13" t="s">
        <v>24</v>
      </c>
      <c r="B85" s="13" t="s">
        <v>336</v>
      </c>
      <c r="C85" s="13" t="s">
        <v>253</v>
      </c>
      <c r="D85" s="13" t="s">
        <v>339</v>
      </c>
      <c r="E85" s="13"/>
      <c r="F85" s="14"/>
      <c r="G85" s="14"/>
      <c r="H85" s="14"/>
      <c r="I85" s="14"/>
    </row>
    <row r="86" customFormat="false" ht="15" hidden="false" customHeight="true" outlineLevel="0" collapsed="false">
      <c r="A86" s="13" t="s">
        <v>24</v>
      </c>
      <c r="B86" s="13" t="s">
        <v>340</v>
      </c>
      <c r="C86" s="13" t="s">
        <v>249</v>
      </c>
      <c r="D86" s="13" t="s">
        <v>341</v>
      </c>
      <c r="E86" s="13"/>
      <c r="F86" s="14"/>
      <c r="G86" s="14"/>
      <c r="H86" s="14"/>
      <c r="I86" s="14"/>
    </row>
    <row r="87" customFormat="false" ht="15" hidden="false" customHeight="true" outlineLevel="0" collapsed="false">
      <c r="A87" s="13" t="s">
        <v>24</v>
      </c>
      <c r="B87" s="13" t="s">
        <v>340</v>
      </c>
      <c r="C87" s="13" t="s">
        <v>253</v>
      </c>
      <c r="D87" s="13" t="s">
        <v>342</v>
      </c>
      <c r="E87" s="13"/>
      <c r="F87" s="14"/>
      <c r="G87" s="14"/>
      <c r="H87" s="14"/>
      <c r="I87" s="14"/>
    </row>
    <row r="88" customFormat="false" ht="15" hidden="false" customHeight="true" outlineLevel="0" collapsed="false">
      <c r="A88" s="13" t="s">
        <v>24</v>
      </c>
      <c r="B88" s="13" t="s">
        <v>343</v>
      </c>
      <c r="C88" s="13" t="s">
        <v>249</v>
      </c>
      <c r="D88" s="13" t="s">
        <v>344</v>
      </c>
      <c r="E88" s="13"/>
      <c r="F88" s="14"/>
      <c r="G88" s="14"/>
      <c r="H88" s="14"/>
      <c r="I88" s="14"/>
    </row>
    <row r="89" customFormat="false" ht="15" hidden="false" customHeight="true" outlineLevel="0" collapsed="false">
      <c r="A89" s="13" t="s">
        <v>24</v>
      </c>
      <c r="B89" s="13" t="s">
        <v>343</v>
      </c>
      <c r="C89" s="13" t="s">
        <v>249</v>
      </c>
      <c r="D89" s="13" t="s">
        <v>345</v>
      </c>
      <c r="E89" s="13"/>
      <c r="F89" s="14"/>
      <c r="G89" s="14"/>
      <c r="H89" s="14"/>
      <c r="I89" s="14"/>
    </row>
    <row r="90" customFormat="false" ht="15" hidden="false" customHeight="true" outlineLevel="0" collapsed="false">
      <c r="A90" s="13" t="s">
        <v>24</v>
      </c>
      <c r="B90" s="13" t="s">
        <v>343</v>
      </c>
      <c r="C90" s="13" t="s">
        <v>249</v>
      </c>
      <c r="D90" s="13" t="s">
        <v>346</v>
      </c>
      <c r="E90" s="13"/>
      <c r="F90" s="14"/>
      <c r="G90" s="14"/>
      <c r="H90" s="14"/>
      <c r="I90" s="14"/>
    </row>
    <row r="91" customFormat="false" ht="15" hidden="false" customHeight="true" outlineLevel="0" collapsed="false">
      <c r="A91" s="13" t="s">
        <v>24</v>
      </c>
      <c r="B91" s="13" t="s">
        <v>343</v>
      </c>
      <c r="C91" s="13" t="s">
        <v>249</v>
      </c>
      <c r="D91" s="13" t="s">
        <v>347</v>
      </c>
      <c r="E91" s="13"/>
      <c r="F91" s="14"/>
      <c r="G91" s="14"/>
      <c r="H91" s="14"/>
      <c r="I91" s="14"/>
    </row>
    <row r="92" customFormat="false" ht="27" hidden="false" customHeight="true" outlineLevel="0" collapsed="false">
      <c r="A92" s="13" t="s">
        <v>24</v>
      </c>
      <c r="B92" s="13" t="s">
        <v>348</v>
      </c>
      <c r="C92" s="13" t="s">
        <v>249</v>
      </c>
      <c r="D92" s="13" t="s">
        <v>347</v>
      </c>
      <c r="E92" s="13"/>
      <c r="F92" s="14"/>
      <c r="G92" s="14"/>
      <c r="H92" s="14"/>
      <c r="I92" s="14"/>
    </row>
    <row r="93" customFormat="false" ht="27" hidden="false" customHeight="true" outlineLevel="0" collapsed="false">
      <c r="A93" s="13" t="s">
        <v>24</v>
      </c>
      <c r="B93" s="13" t="s">
        <v>348</v>
      </c>
      <c r="C93" s="13" t="s">
        <v>253</v>
      </c>
      <c r="D93" s="13" t="s">
        <v>349</v>
      </c>
      <c r="E93" s="13"/>
      <c r="F93" s="14"/>
      <c r="G93" s="14"/>
      <c r="H93" s="14"/>
      <c r="I93" s="14"/>
    </row>
    <row r="94" customFormat="false" ht="27" hidden="false" customHeight="true" outlineLevel="0" collapsed="false">
      <c r="A94" s="13" t="s">
        <v>24</v>
      </c>
      <c r="B94" s="13" t="s">
        <v>348</v>
      </c>
      <c r="C94" s="13" t="s">
        <v>253</v>
      </c>
      <c r="D94" s="13" t="s">
        <v>350</v>
      </c>
      <c r="E94" s="13"/>
      <c r="F94" s="14"/>
      <c r="G94" s="14"/>
      <c r="H94" s="14"/>
      <c r="I94" s="14"/>
    </row>
    <row r="95" customFormat="false" ht="15" hidden="false" customHeight="true" outlineLevel="0" collapsed="false">
      <c r="A95" s="13" t="s">
        <v>24</v>
      </c>
      <c r="B95" s="13" t="s">
        <v>351</v>
      </c>
      <c r="C95" s="13" t="s">
        <v>249</v>
      </c>
      <c r="D95" s="13" t="s">
        <v>349</v>
      </c>
      <c r="E95" s="13"/>
      <c r="F95" s="14"/>
      <c r="G95" s="14"/>
      <c r="H95" s="14"/>
      <c r="I95" s="14"/>
    </row>
    <row r="96" customFormat="false" ht="15" hidden="false" customHeight="true" outlineLevel="0" collapsed="false">
      <c r="A96" s="13" t="s">
        <v>24</v>
      </c>
      <c r="B96" s="13" t="s">
        <v>351</v>
      </c>
      <c r="C96" s="13" t="s">
        <v>249</v>
      </c>
      <c r="D96" s="13" t="s">
        <v>350</v>
      </c>
      <c r="E96" s="13"/>
      <c r="F96" s="14"/>
      <c r="G96" s="14"/>
      <c r="H96" s="14"/>
      <c r="I96" s="14"/>
    </row>
    <row r="97" customFormat="false" ht="15" hidden="false" customHeight="true" outlineLevel="0" collapsed="false">
      <c r="A97" s="13" t="s">
        <v>24</v>
      </c>
      <c r="B97" s="13" t="s">
        <v>351</v>
      </c>
      <c r="C97" s="13" t="s">
        <v>249</v>
      </c>
      <c r="D97" s="13" t="s">
        <v>352</v>
      </c>
      <c r="E97" s="13"/>
      <c r="F97" s="14"/>
      <c r="G97" s="14"/>
      <c r="H97" s="14"/>
      <c r="I97" s="14"/>
    </row>
    <row r="98" customFormat="false" ht="15" hidden="false" customHeight="true" outlineLevel="0" collapsed="false">
      <c r="A98" s="13" t="s">
        <v>24</v>
      </c>
      <c r="B98" s="13" t="s">
        <v>351</v>
      </c>
      <c r="C98" s="13" t="s">
        <v>253</v>
      </c>
      <c r="D98" s="13" t="s">
        <v>353</v>
      </c>
      <c r="E98" s="13"/>
      <c r="F98" s="14"/>
      <c r="G98" s="14"/>
      <c r="H98" s="14"/>
      <c r="I98" s="14"/>
    </row>
    <row r="99" customFormat="false" ht="15" hidden="false" customHeight="true" outlineLevel="0" collapsed="false">
      <c r="A99" s="13" t="s">
        <v>24</v>
      </c>
      <c r="B99" s="13" t="s">
        <v>354</v>
      </c>
      <c r="C99" s="13" t="s">
        <v>249</v>
      </c>
      <c r="D99" s="13" t="s">
        <v>355</v>
      </c>
      <c r="E99" s="13"/>
      <c r="F99" s="14"/>
      <c r="G99" s="14"/>
      <c r="H99" s="14"/>
      <c r="I99" s="14"/>
    </row>
    <row r="100" customFormat="false" ht="15" hidden="false" customHeight="true" outlineLevel="0" collapsed="false">
      <c r="A100" s="13" t="s">
        <v>24</v>
      </c>
      <c r="B100" s="13" t="s">
        <v>354</v>
      </c>
      <c r="C100" s="13" t="s">
        <v>249</v>
      </c>
      <c r="D100" s="13" t="s">
        <v>356</v>
      </c>
      <c r="E100" s="13"/>
      <c r="F100" s="14"/>
      <c r="G100" s="14"/>
      <c r="H100" s="14"/>
      <c r="I100" s="14"/>
    </row>
    <row r="101" customFormat="false" ht="27" hidden="false" customHeight="true" outlineLevel="0" collapsed="false">
      <c r="A101" s="13" t="s">
        <v>24</v>
      </c>
      <c r="B101" s="13" t="s">
        <v>354</v>
      </c>
      <c r="C101" s="13" t="s">
        <v>253</v>
      </c>
      <c r="D101" s="13" t="s">
        <v>357</v>
      </c>
      <c r="E101" s="13"/>
      <c r="F101" s="14"/>
      <c r="G101" s="14"/>
      <c r="H101" s="14"/>
      <c r="I101" s="14"/>
    </row>
    <row r="102" customFormat="false" ht="27" hidden="false" customHeight="true" outlineLevel="0" collapsed="false">
      <c r="A102" s="13" t="s">
        <v>25</v>
      </c>
      <c r="B102" s="13" t="s">
        <v>358</v>
      </c>
      <c r="C102" s="13" t="s">
        <v>249</v>
      </c>
      <c r="D102" s="13" t="s">
        <v>250</v>
      </c>
      <c r="E102" s="13"/>
      <c r="F102" s="14"/>
      <c r="G102" s="14"/>
      <c r="H102" s="14"/>
      <c r="I102" s="14"/>
    </row>
    <row r="103" customFormat="false" ht="27" hidden="false" customHeight="true" outlineLevel="0" collapsed="false">
      <c r="A103" s="13" t="s">
        <v>25</v>
      </c>
      <c r="B103" s="13" t="s">
        <v>358</v>
      </c>
      <c r="C103" s="13" t="s">
        <v>249</v>
      </c>
      <c r="D103" s="13" t="s">
        <v>251</v>
      </c>
      <c r="E103" s="13"/>
      <c r="F103" s="14"/>
      <c r="G103" s="14"/>
      <c r="H103" s="14"/>
      <c r="I103" s="14"/>
    </row>
    <row r="104" customFormat="false" ht="27" hidden="false" customHeight="true" outlineLevel="0" collapsed="false">
      <c r="A104" s="13" t="s">
        <v>25</v>
      </c>
      <c r="B104" s="13" t="s">
        <v>358</v>
      </c>
      <c r="C104" s="13" t="s">
        <v>249</v>
      </c>
      <c r="D104" s="13" t="s">
        <v>359</v>
      </c>
      <c r="E104" s="13"/>
      <c r="F104" s="14"/>
      <c r="G104" s="14"/>
      <c r="H104" s="14"/>
      <c r="I104" s="14"/>
    </row>
    <row r="105" customFormat="false" ht="27" hidden="false" customHeight="true" outlineLevel="0" collapsed="false">
      <c r="A105" s="13" t="s">
        <v>25</v>
      </c>
      <c r="B105" s="13" t="s">
        <v>358</v>
      </c>
      <c r="C105" s="13" t="s">
        <v>249</v>
      </c>
      <c r="D105" s="13" t="s">
        <v>360</v>
      </c>
      <c r="E105" s="13"/>
      <c r="F105" s="14"/>
      <c r="G105" s="14"/>
      <c r="H105" s="14"/>
      <c r="I105" s="14"/>
    </row>
    <row r="106" customFormat="false" ht="27" hidden="false" customHeight="true" outlineLevel="0" collapsed="false">
      <c r="A106" s="13" t="s">
        <v>25</v>
      </c>
      <c r="B106" s="13" t="s">
        <v>358</v>
      </c>
      <c r="C106" s="13" t="s">
        <v>249</v>
      </c>
      <c r="D106" s="13" t="s">
        <v>252</v>
      </c>
      <c r="E106" s="13"/>
      <c r="F106" s="14"/>
      <c r="G106" s="14"/>
      <c r="H106" s="14"/>
      <c r="I106" s="14"/>
    </row>
    <row r="107" customFormat="false" ht="27" hidden="false" customHeight="true" outlineLevel="0" collapsed="false">
      <c r="A107" s="13" t="s">
        <v>25</v>
      </c>
      <c r="B107" s="13" t="s">
        <v>358</v>
      </c>
      <c r="C107" s="13" t="s">
        <v>253</v>
      </c>
      <c r="D107" s="13" t="s">
        <v>255</v>
      </c>
      <c r="E107" s="13"/>
      <c r="F107" s="14"/>
      <c r="G107" s="14"/>
      <c r="H107" s="14"/>
      <c r="I107" s="14"/>
    </row>
    <row r="108" customFormat="false" ht="27" hidden="false" customHeight="true" outlineLevel="0" collapsed="false">
      <c r="A108" s="13" t="s">
        <v>25</v>
      </c>
      <c r="B108" s="13" t="s">
        <v>358</v>
      </c>
      <c r="C108" s="13" t="s">
        <v>253</v>
      </c>
      <c r="D108" s="13" t="s">
        <v>361</v>
      </c>
      <c r="E108" s="13"/>
      <c r="F108" s="14"/>
      <c r="G108" s="14"/>
      <c r="H108" s="14"/>
      <c r="I108" s="14"/>
    </row>
    <row r="109" customFormat="false" ht="27" hidden="false" customHeight="true" outlineLevel="0" collapsed="false">
      <c r="A109" s="13" t="s">
        <v>25</v>
      </c>
      <c r="B109" s="13" t="s">
        <v>358</v>
      </c>
      <c r="C109" s="13" t="s">
        <v>253</v>
      </c>
      <c r="D109" s="13" t="s">
        <v>362</v>
      </c>
      <c r="E109" s="13"/>
      <c r="F109" s="14"/>
      <c r="G109" s="14"/>
      <c r="H109" s="14"/>
      <c r="I109" s="14"/>
    </row>
    <row r="110" customFormat="false" ht="27" hidden="false" customHeight="true" outlineLevel="0" collapsed="false">
      <c r="A110" s="13" t="s">
        <v>25</v>
      </c>
      <c r="B110" s="13" t="s">
        <v>363</v>
      </c>
      <c r="C110" s="13" t="s">
        <v>249</v>
      </c>
      <c r="D110" s="13" t="s">
        <v>264</v>
      </c>
      <c r="E110" s="13"/>
      <c r="F110" s="14"/>
      <c r="G110" s="14"/>
      <c r="H110" s="14"/>
      <c r="I110" s="14"/>
    </row>
    <row r="111" customFormat="false" ht="27" hidden="false" customHeight="true" outlineLevel="0" collapsed="false">
      <c r="A111" s="13" t="s">
        <v>25</v>
      </c>
      <c r="B111" s="13" t="s">
        <v>363</v>
      </c>
      <c r="C111" s="13" t="s">
        <v>249</v>
      </c>
      <c r="D111" s="13" t="s">
        <v>364</v>
      </c>
      <c r="E111" s="13"/>
      <c r="F111" s="14"/>
      <c r="G111" s="14"/>
      <c r="H111" s="14"/>
      <c r="I111" s="14"/>
    </row>
    <row r="112" customFormat="false" ht="27" hidden="false" customHeight="true" outlineLevel="0" collapsed="false">
      <c r="A112" s="13" t="s">
        <v>25</v>
      </c>
      <c r="B112" s="13" t="s">
        <v>363</v>
      </c>
      <c r="C112" s="13" t="s">
        <v>249</v>
      </c>
      <c r="D112" s="13" t="s">
        <v>365</v>
      </c>
      <c r="E112" s="13"/>
      <c r="F112" s="14"/>
      <c r="G112" s="14"/>
      <c r="H112" s="14"/>
      <c r="I112" s="14"/>
    </row>
    <row r="113" customFormat="false" ht="27" hidden="false" customHeight="true" outlineLevel="0" collapsed="false">
      <c r="A113" s="13" t="s">
        <v>25</v>
      </c>
      <c r="B113" s="13" t="s">
        <v>363</v>
      </c>
      <c r="C113" s="13" t="s">
        <v>253</v>
      </c>
      <c r="D113" s="13" t="s">
        <v>270</v>
      </c>
      <c r="E113" s="13"/>
      <c r="F113" s="14"/>
      <c r="G113" s="14"/>
      <c r="H113" s="14"/>
      <c r="I113" s="14"/>
    </row>
    <row r="114" customFormat="false" ht="27" hidden="false" customHeight="true" outlineLevel="0" collapsed="false">
      <c r="A114" s="13" t="s">
        <v>25</v>
      </c>
      <c r="B114" s="13" t="s">
        <v>363</v>
      </c>
      <c r="C114" s="13" t="s">
        <v>253</v>
      </c>
      <c r="D114" s="13" t="s">
        <v>366</v>
      </c>
      <c r="E114" s="13" t="s">
        <v>13</v>
      </c>
      <c r="F114" s="14"/>
      <c r="G114" s="14"/>
      <c r="H114" s="14"/>
      <c r="I114" s="14"/>
    </row>
    <row r="115" customFormat="false" ht="27" hidden="false" customHeight="true" outlineLevel="0" collapsed="false">
      <c r="A115" s="13" t="s">
        <v>25</v>
      </c>
      <c r="B115" s="13" t="s">
        <v>363</v>
      </c>
      <c r="C115" s="13" t="s">
        <v>253</v>
      </c>
      <c r="D115" s="13" t="s">
        <v>367</v>
      </c>
      <c r="E115" s="13" t="s">
        <v>13</v>
      </c>
      <c r="F115" s="14"/>
      <c r="G115" s="14"/>
      <c r="H115" s="14"/>
      <c r="I115" s="14"/>
    </row>
    <row r="116" customFormat="false" ht="27" hidden="false" customHeight="true" outlineLevel="0" collapsed="false">
      <c r="A116" s="13" t="s">
        <v>25</v>
      </c>
      <c r="B116" s="13" t="s">
        <v>363</v>
      </c>
      <c r="C116" s="13" t="s">
        <v>253</v>
      </c>
      <c r="D116" s="13" t="s">
        <v>368</v>
      </c>
      <c r="E116" s="13"/>
      <c r="F116" s="14"/>
      <c r="G116" s="14"/>
      <c r="H116" s="14"/>
      <c r="I116" s="14"/>
    </row>
    <row r="117" customFormat="false" ht="27" hidden="false" customHeight="true" outlineLevel="0" collapsed="false">
      <c r="A117" s="13" t="s">
        <v>25</v>
      </c>
      <c r="B117" s="13" t="s">
        <v>369</v>
      </c>
      <c r="C117" s="13" t="s">
        <v>249</v>
      </c>
      <c r="D117" s="13" t="s">
        <v>370</v>
      </c>
      <c r="E117" s="13"/>
      <c r="F117" s="14"/>
      <c r="G117" s="14"/>
      <c r="H117" s="14"/>
      <c r="I117" s="14"/>
    </row>
    <row r="118" customFormat="false" ht="27" hidden="false" customHeight="true" outlineLevel="0" collapsed="false">
      <c r="A118" s="13" t="s">
        <v>25</v>
      </c>
      <c r="B118" s="13" t="s">
        <v>369</v>
      </c>
      <c r="C118" s="13" t="s">
        <v>253</v>
      </c>
      <c r="D118" s="13" t="s">
        <v>271</v>
      </c>
      <c r="E118" s="13"/>
      <c r="F118" s="14"/>
      <c r="G118" s="14"/>
      <c r="H118" s="14"/>
      <c r="I118" s="14"/>
    </row>
    <row r="119" customFormat="false" ht="27" hidden="false" customHeight="true" outlineLevel="0" collapsed="false">
      <c r="A119" s="13" t="s">
        <v>25</v>
      </c>
      <c r="B119" s="13" t="s">
        <v>369</v>
      </c>
      <c r="C119" s="13" t="s">
        <v>253</v>
      </c>
      <c r="D119" s="13" t="s">
        <v>371</v>
      </c>
      <c r="E119" s="13"/>
      <c r="F119" s="14"/>
      <c r="G119" s="14"/>
      <c r="H119" s="14"/>
      <c r="I119" s="14"/>
    </row>
    <row r="120" customFormat="false" ht="27" hidden="false" customHeight="true" outlineLevel="0" collapsed="false">
      <c r="A120" s="13" t="s">
        <v>25</v>
      </c>
      <c r="B120" s="13" t="s">
        <v>369</v>
      </c>
      <c r="C120" s="13" t="s">
        <v>253</v>
      </c>
      <c r="D120" s="13" t="s">
        <v>372</v>
      </c>
      <c r="E120" s="13" t="s">
        <v>13</v>
      </c>
      <c r="F120" s="14"/>
      <c r="G120" s="14"/>
      <c r="H120" s="14"/>
      <c r="I120" s="14"/>
    </row>
    <row r="121" customFormat="false" ht="27" hidden="false" customHeight="true" outlineLevel="0" collapsed="false">
      <c r="A121" s="13" t="s">
        <v>25</v>
      </c>
      <c r="B121" s="13" t="s">
        <v>373</v>
      </c>
      <c r="C121" s="13" t="s">
        <v>249</v>
      </c>
      <c r="D121" s="13" t="s">
        <v>374</v>
      </c>
      <c r="E121" s="13"/>
      <c r="F121" s="14"/>
      <c r="G121" s="14"/>
      <c r="H121" s="14"/>
      <c r="I121" s="14"/>
    </row>
    <row r="122" customFormat="false" ht="27" hidden="false" customHeight="true" outlineLevel="0" collapsed="false">
      <c r="A122" s="13" t="s">
        <v>25</v>
      </c>
      <c r="B122" s="13" t="s">
        <v>373</v>
      </c>
      <c r="C122" s="13" t="s">
        <v>253</v>
      </c>
      <c r="D122" s="13" t="s">
        <v>375</v>
      </c>
      <c r="E122" s="13"/>
      <c r="F122" s="14"/>
      <c r="G122" s="14"/>
      <c r="H122" s="14"/>
      <c r="I122" s="14"/>
    </row>
    <row r="123" customFormat="false" ht="27" hidden="false" customHeight="true" outlineLevel="0" collapsed="false">
      <c r="A123" s="13" t="s">
        <v>25</v>
      </c>
      <c r="B123" s="13" t="s">
        <v>373</v>
      </c>
      <c r="C123" s="13" t="s">
        <v>253</v>
      </c>
      <c r="D123" s="13" t="s">
        <v>376</v>
      </c>
      <c r="E123" s="13"/>
      <c r="F123" s="14"/>
      <c r="G123" s="14"/>
      <c r="H123" s="14"/>
      <c r="I123" s="14"/>
    </row>
    <row r="124" customFormat="false" ht="27" hidden="false" customHeight="true" outlineLevel="0" collapsed="false">
      <c r="A124" s="13" t="s">
        <v>25</v>
      </c>
      <c r="B124" s="13" t="s">
        <v>377</v>
      </c>
      <c r="C124" s="13" t="s">
        <v>249</v>
      </c>
      <c r="D124" s="13" t="s">
        <v>378</v>
      </c>
      <c r="E124" s="13"/>
      <c r="F124" s="14"/>
      <c r="G124" s="14"/>
      <c r="H124" s="14"/>
      <c r="I124" s="14"/>
    </row>
    <row r="125" customFormat="false" ht="27" hidden="false" customHeight="true" outlineLevel="0" collapsed="false">
      <c r="A125" s="13" t="s">
        <v>25</v>
      </c>
      <c r="B125" s="13" t="s">
        <v>377</v>
      </c>
      <c r="C125" s="13" t="s">
        <v>249</v>
      </c>
      <c r="D125" s="13" t="s">
        <v>360</v>
      </c>
      <c r="E125" s="13"/>
      <c r="F125" s="14"/>
      <c r="G125" s="14"/>
      <c r="H125" s="14"/>
      <c r="I125" s="14"/>
    </row>
    <row r="126" customFormat="false" ht="27" hidden="false" customHeight="true" outlineLevel="0" collapsed="false">
      <c r="A126" s="13" t="s">
        <v>25</v>
      </c>
      <c r="B126" s="13" t="s">
        <v>377</v>
      </c>
      <c r="C126" s="13" t="s">
        <v>249</v>
      </c>
      <c r="D126" s="13" t="s">
        <v>364</v>
      </c>
      <c r="E126" s="13"/>
      <c r="F126" s="14"/>
      <c r="G126" s="14"/>
      <c r="H126" s="14"/>
      <c r="I126" s="14"/>
    </row>
    <row r="127" customFormat="false" ht="27" hidden="false" customHeight="true" outlineLevel="0" collapsed="false">
      <c r="A127" s="13" t="s">
        <v>25</v>
      </c>
      <c r="B127" s="13" t="s">
        <v>377</v>
      </c>
      <c r="C127" s="13" t="s">
        <v>253</v>
      </c>
      <c r="D127" s="13" t="s">
        <v>379</v>
      </c>
      <c r="E127" s="13"/>
      <c r="F127" s="14"/>
      <c r="G127" s="14"/>
      <c r="H127" s="14"/>
      <c r="I127" s="14"/>
    </row>
    <row r="128" customFormat="false" ht="27" hidden="false" customHeight="true" outlineLevel="0" collapsed="false">
      <c r="A128" s="13" t="s">
        <v>25</v>
      </c>
      <c r="B128" s="13" t="s">
        <v>377</v>
      </c>
      <c r="C128" s="13" t="s">
        <v>253</v>
      </c>
      <c r="D128" s="13" t="s">
        <v>380</v>
      </c>
      <c r="E128" s="13" t="s">
        <v>13</v>
      </c>
      <c r="F128" s="14"/>
      <c r="G128" s="14"/>
      <c r="H128" s="14"/>
      <c r="I128" s="14"/>
    </row>
    <row r="129" customFormat="false" ht="27" hidden="false" customHeight="true" outlineLevel="0" collapsed="false">
      <c r="A129" s="13" t="s">
        <v>25</v>
      </c>
      <c r="B129" s="13" t="s">
        <v>285</v>
      </c>
      <c r="C129" s="13" t="s">
        <v>249</v>
      </c>
      <c r="D129" s="13" t="s">
        <v>286</v>
      </c>
      <c r="E129" s="13"/>
      <c r="F129" s="14"/>
      <c r="G129" s="14"/>
      <c r="H129" s="14"/>
      <c r="I129" s="14"/>
    </row>
    <row r="130" customFormat="false" ht="27" hidden="false" customHeight="true" outlineLevel="0" collapsed="false">
      <c r="A130" s="13" t="s">
        <v>25</v>
      </c>
      <c r="B130" s="13" t="s">
        <v>285</v>
      </c>
      <c r="C130" s="13" t="s">
        <v>249</v>
      </c>
      <c r="D130" s="13" t="s">
        <v>287</v>
      </c>
      <c r="E130" s="13"/>
      <c r="F130" s="14"/>
      <c r="G130" s="14"/>
      <c r="H130" s="14"/>
      <c r="I130" s="14"/>
    </row>
    <row r="131" customFormat="false" ht="27" hidden="false" customHeight="true" outlineLevel="0" collapsed="false">
      <c r="A131" s="13" t="s">
        <v>25</v>
      </c>
      <c r="B131" s="13" t="s">
        <v>285</v>
      </c>
      <c r="C131" s="13" t="s">
        <v>253</v>
      </c>
      <c r="D131" s="13" t="s">
        <v>288</v>
      </c>
      <c r="E131" s="13" t="s">
        <v>13</v>
      </c>
      <c r="F131" s="14"/>
      <c r="G131" s="14"/>
      <c r="H131" s="14"/>
      <c r="I131" s="14"/>
    </row>
    <row r="132" customFormat="false" ht="27" hidden="false" customHeight="true" outlineLevel="0" collapsed="false">
      <c r="A132" s="13" t="s">
        <v>25</v>
      </c>
      <c r="B132" s="13" t="s">
        <v>289</v>
      </c>
      <c r="C132" s="13" t="s">
        <v>249</v>
      </c>
      <c r="D132" s="13" t="s">
        <v>290</v>
      </c>
      <c r="E132" s="13"/>
      <c r="F132" s="14"/>
      <c r="G132" s="14"/>
      <c r="H132" s="14"/>
      <c r="I132" s="14"/>
    </row>
    <row r="133" customFormat="false" ht="27" hidden="false" customHeight="true" outlineLevel="0" collapsed="false">
      <c r="A133" s="13" t="s">
        <v>25</v>
      </c>
      <c r="B133" s="13" t="s">
        <v>289</v>
      </c>
      <c r="C133" s="13" t="s">
        <v>249</v>
      </c>
      <c r="D133" s="13" t="s">
        <v>291</v>
      </c>
      <c r="E133" s="13"/>
      <c r="F133" s="14"/>
      <c r="G133" s="14"/>
      <c r="H133" s="14"/>
      <c r="I133" s="14"/>
    </row>
    <row r="134" customFormat="false" ht="27" hidden="false" customHeight="true" outlineLevel="0" collapsed="false">
      <c r="A134" s="13" t="s">
        <v>25</v>
      </c>
      <c r="B134" s="13" t="s">
        <v>289</v>
      </c>
      <c r="C134" s="13" t="s">
        <v>253</v>
      </c>
      <c r="D134" s="13" t="s">
        <v>292</v>
      </c>
      <c r="E134" s="13" t="s">
        <v>13</v>
      </c>
      <c r="F134" s="14"/>
      <c r="G134" s="14"/>
      <c r="H134" s="14"/>
      <c r="I134" s="14"/>
    </row>
  </sheetData>
  <autoFilter ref="A1:I134"/>
  <dataValidations count="1">
    <dataValidation allowBlank="true" errorStyle="stop" operator="between" showDropDown="false" showErrorMessage="false" showInputMessage="false" sqref="G2:G134" type="list">
      <formula1>"Ya,Tidak,Perlu cek"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2026-10-21T04:46:12Z</dcterms:created>
  <dc:creator>openpyxl</dc:creator>
  <dc:description/>
  <dc:language>en-US</dc:language>
  <cp:lastModifiedBy/>
  <dcterms:modified xsi:type="dcterms:W3CDTF">2026-10-21T04:46:12Z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